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yx\OneDrive\Desktop\"/>
    </mc:Choice>
  </mc:AlternateContent>
  <xr:revisionPtr revIDLastSave="0" documentId="13_ncr:1_{06CE78E3-7F8F-43B6-90A4-92EB85E0FCB2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Inputs - Products" sheetId="1" r:id="rId1"/>
    <sheet name="Inputs - Sales &amp; Investment" sheetId="2" r:id="rId2"/>
    <sheet name="Inputs - Fixed Costs (OpEx)" sheetId="3" r:id="rId3"/>
    <sheet name="Forecast - Cashflow" sheetId="4" r:id="rId4"/>
    <sheet name="Forecast - P&amp;L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5" l="1"/>
  <c r="D62" i="5"/>
  <c r="C62" i="5"/>
  <c r="E48" i="5"/>
  <c r="F48" i="5" s="1"/>
  <c r="D48" i="5"/>
  <c r="C48" i="5"/>
  <c r="F47" i="5"/>
  <c r="E47" i="5"/>
  <c r="D47" i="5"/>
  <c r="C47" i="5"/>
  <c r="E45" i="5"/>
  <c r="D45" i="5"/>
  <c r="F45" i="5" s="1"/>
  <c r="C45" i="5"/>
  <c r="A37" i="5"/>
  <c r="A36" i="5"/>
  <c r="A35" i="5"/>
  <c r="A34" i="5"/>
  <c r="A27" i="5"/>
  <c r="A25" i="5"/>
  <c r="A15" i="5"/>
  <c r="A14" i="5"/>
  <c r="A7" i="5"/>
  <c r="U73" i="4"/>
  <c r="S73" i="4"/>
  <c r="D69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AM52" i="4"/>
  <c r="AM73" i="4" s="1"/>
  <c r="AL52" i="4"/>
  <c r="AL73" i="4" s="1"/>
  <c r="AK52" i="4"/>
  <c r="AK73" i="4" s="1"/>
  <c r="AJ52" i="4"/>
  <c r="AJ73" i="4" s="1"/>
  <c r="AI52" i="4"/>
  <c r="AI73" i="4" s="1"/>
  <c r="AH52" i="4"/>
  <c r="AH73" i="4" s="1"/>
  <c r="AG52" i="4"/>
  <c r="AG73" i="4" s="1"/>
  <c r="AF52" i="4"/>
  <c r="AF73" i="4" s="1"/>
  <c r="AE52" i="4"/>
  <c r="AE73" i="4" s="1"/>
  <c r="AD52" i="4"/>
  <c r="AD73" i="4" s="1"/>
  <c r="AC52" i="4"/>
  <c r="AC73" i="4" s="1"/>
  <c r="AB52" i="4"/>
  <c r="AA52" i="4"/>
  <c r="AA73" i="4" s="1"/>
  <c r="Z52" i="4"/>
  <c r="Z73" i="4" s="1"/>
  <c r="Y52" i="4"/>
  <c r="Y73" i="4" s="1"/>
  <c r="X52" i="4"/>
  <c r="X73" i="4" s="1"/>
  <c r="W52" i="4"/>
  <c r="W73" i="4" s="1"/>
  <c r="V52" i="4"/>
  <c r="V73" i="4" s="1"/>
  <c r="U52" i="4"/>
  <c r="T52" i="4"/>
  <c r="T73" i="4" s="1"/>
  <c r="S52" i="4"/>
  <c r="R52" i="4"/>
  <c r="R73" i="4" s="1"/>
  <c r="Q52" i="4"/>
  <c r="Q73" i="4" s="1"/>
  <c r="P52" i="4"/>
  <c r="P73" i="4" s="1"/>
  <c r="O52" i="4"/>
  <c r="O73" i="4" s="1"/>
  <c r="N52" i="4"/>
  <c r="N73" i="4" s="1"/>
  <c r="M52" i="4"/>
  <c r="M73" i="4" s="1"/>
  <c r="L52" i="4"/>
  <c r="L73" i="4" s="1"/>
  <c r="K52" i="4"/>
  <c r="K73" i="4" s="1"/>
  <c r="J52" i="4"/>
  <c r="J73" i="4" s="1"/>
  <c r="I52" i="4"/>
  <c r="I73" i="4" s="1"/>
  <c r="H52" i="4"/>
  <c r="H73" i="4" s="1"/>
  <c r="G52" i="4"/>
  <c r="G73" i="4" s="1"/>
  <c r="F52" i="4"/>
  <c r="F73" i="4" s="1"/>
  <c r="E52" i="4"/>
  <c r="E73" i="4" s="1"/>
  <c r="D52" i="4"/>
  <c r="AM51" i="4"/>
  <c r="AM72" i="4" s="1"/>
  <c r="AL51" i="4"/>
  <c r="AL72" i="4" s="1"/>
  <c r="AK51" i="4"/>
  <c r="AK72" i="4" s="1"/>
  <c r="AJ51" i="4"/>
  <c r="AJ72" i="4" s="1"/>
  <c r="AI51" i="4"/>
  <c r="AI72" i="4" s="1"/>
  <c r="AH51" i="4"/>
  <c r="AH72" i="4" s="1"/>
  <c r="AG51" i="4"/>
  <c r="AG72" i="4" s="1"/>
  <c r="AF51" i="4"/>
  <c r="AF72" i="4" s="1"/>
  <c r="AE51" i="4"/>
  <c r="AE72" i="4" s="1"/>
  <c r="AD51" i="4"/>
  <c r="AD72" i="4" s="1"/>
  <c r="AC51" i="4"/>
  <c r="AC72" i="4" s="1"/>
  <c r="AB51" i="4"/>
  <c r="AB72" i="4" s="1"/>
  <c r="AA51" i="4"/>
  <c r="AA72" i="4" s="1"/>
  <c r="Z51" i="4"/>
  <c r="Z72" i="4" s="1"/>
  <c r="Y51" i="4"/>
  <c r="Y72" i="4" s="1"/>
  <c r="X51" i="4"/>
  <c r="X72" i="4" s="1"/>
  <c r="W51" i="4"/>
  <c r="W72" i="4" s="1"/>
  <c r="V51" i="4"/>
  <c r="V72" i="4" s="1"/>
  <c r="U51" i="4"/>
  <c r="U72" i="4" s="1"/>
  <c r="T51" i="4"/>
  <c r="T72" i="4" s="1"/>
  <c r="S51" i="4"/>
  <c r="S72" i="4" s="1"/>
  <c r="R51" i="4"/>
  <c r="R72" i="4" s="1"/>
  <c r="Q51" i="4"/>
  <c r="Q72" i="4" s="1"/>
  <c r="P51" i="4"/>
  <c r="P72" i="4" s="1"/>
  <c r="O51" i="4"/>
  <c r="O72" i="4" s="1"/>
  <c r="N51" i="4"/>
  <c r="N72" i="4" s="1"/>
  <c r="M51" i="4"/>
  <c r="M72" i="4" s="1"/>
  <c r="L51" i="4"/>
  <c r="L72" i="4" s="1"/>
  <c r="K51" i="4"/>
  <c r="K72" i="4" s="1"/>
  <c r="J51" i="4"/>
  <c r="J72" i="4" s="1"/>
  <c r="I51" i="4"/>
  <c r="I72" i="4" s="1"/>
  <c r="H51" i="4"/>
  <c r="H72" i="4" s="1"/>
  <c r="G51" i="4"/>
  <c r="G72" i="4" s="1"/>
  <c r="F51" i="4"/>
  <c r="F72" i="4" s="1"/>
  <c r="E51" i="4"/>
  <c r="E72" i="4" s="1"/>
  <c r="D51" i="4"/>
  <c r="D72" i="4" s="1"/>
  <c r="A44" i="4"/>
  <c r="A43" i="4"/>
  <c r="A42" i="4"/>
  <c r="A41" i="4"/>
  <c r="A34" i="4"/>
  <c r="A32" i="4"/>
  <c r="B31" i="4"/>
  <c r="A31" i="4"/>
  <c r="A30" i="4"/>
  <c r="B24" i="4"/>
  <c r="A24" i="4"/>
  <c r="A18" i="5" s="1"/>
  <c r="B23" i="4"/>
  <c r="A23" i="4"/>
  <c r="B22" i="4"/>
  <c r="A22" i="4"/>
  <c r="A16" i="5" s="1"/>
  <c r="B21" i="4"/>
  <c r="A21" i="4"/>
  <c r="A24" i="5" s="1"/>
  <c r="B20" i="4"/>
  <c r="A20" i="4"/>
  <c r="A23" i="5" s="1"/>
  <c r="B19" i="4"/>
  <c r="A19" i="4"/>
  <c r="A22" i="5" s="1"/>
  <c r="AM14" i="4"/>
  <c r="AL14" i="4"/>
  <c r="AK14" i="4"/>
  <c r="AK24" i="4" s="1"/>
  <c r="AK34" i="4" s="1"/>
  <c r="AJ14" i="4"/>
  <c r="AI14" i="4"/>
  <c r="AH14" i="4"/>
  <c r="AG14" i="4"/>
  <c r="AG24" i="4" s="1"/>
  <c r="AG34" i="4" s="1"/>
  <c r="AF14" i="4"/>
  <c r="AF24" i="4" s="1"/>
  <c r="AF34" i="4" s="1"/>
  <c r="AE14" i="4"/>
  <c r="AE24" i="4" s="1"/>
  <c r="AE34" i="4" s="1"/>
  <c r="AD14" i="4"/>
  <c r="AD24" i="4" s="1"/>
  <c r="AD34" i="4" s="1"/>
  <c r="AC14" i="4"/>
  <c r="AB14" i="4"/>
  <c r="AA14" i="4"/>
  <c r="AA24" i="4" s="1"/>
  <c r="AA34" i="4" s="1"/>
  <c r="Z14" i="4"/>
  <c r="Z24" i="4" s="1"/>
  <c r="Z34" i="4" s="1"/>
  <c r="Y14" i="4"/>
  <c r="X14" i="4"/>
  <c r="W14" i="4"/>
  <c r="V14" i="4"/>
  <c r="U14" i="4"/>
  <c r="U24" i="4" s="1"/>
  <c r="U34" i="4" s="1"/>
  <c r="T14" i="4"/>
  <c r="S14" i="4"/>
  <c r="R14" i="4"/>
  <c r="R24" i="4" s="1"/>
  <c r="R34" i="4" s="1"/>
  <c r="Q14" i="4"/>
  <c r="Q24" i="4" s="1"/>
  <c r="Q34" i="4" s="1"/>
  <c r="P14" i="4"/>
  <c r="O14" i="4"/>
  <c r="O24" i="4" s="1"/>
  <c r="O34" i="4" s="1"/>
  <c r="N14" i="4"/>
  <c r="N24" i="4" s="1"/>
  <c r="N34" i="4" s="1"/>
  <c r="M14" i="4"/>
  <c r="L14" i="4"/>
  <c r="K14" i="4"/>
  <c r="J14" i="4"/>
  <c r="I14" i="4"/>
  <c r="H14" i="4"/>
  <c r="H24" i="4" s="1"/>
  <c r="H34" i="4" s="1"/>
  <c r="G14" i="4"/>
  <c r="F14" i="4"/>
  <c r="F24" i="4" s="1"/>
  <c r="F34" i="4" s="1"/>
  <c r="E14" i="4"/>
  <c r="E24" i="4" s="1"/>
  <c r="E34" i="4" s="1"/>
  <c r="D14" i="4"/>
  <c r="A14" i="4"/>
  <c r="A8" i="5" s="1"/>
  <c r="AM13" i="4"/>
  <c r="AL13" i="4"/>
  <c r="AL23" i="4" s="1"/>
  <c r="AL33" i="4" s="1"/>
  <c r="AK13" i="4"/>
  <c r="AK23" i="4" s="1"/>
  <c r="AK33" i="4" s="1"/>
  <c r="AJ13" i="4"/>
  <c r="AJ23" i="4" s="1"/>
  <c r="AJ33" i="4" s="1"/>
  <c r="AI13" i="4"/>
  <c r="AI23" i="4" s="1"/>
  <c r="AI33" i="4" s="1"/>
  <c r="AH13" i="4"/>
  <c r="AG13" i="4"/>
  <c r="AG23" i="4" s="1"/>
  <c r="AG33" i="4" s="1"/>
  <c r="AF13" i="4"/>
  <c r="AF23" i="4" s="1"/>
  <c r="AF33" i="4" s="1"/>
  <c r="AE13" i="4"/>
  <c r="AE23" i="4" s="1"/>
  <c r="AE33" i="4" s="1"/>
  <c r="AD13" i="4"/>
  <c r="AD23" i="4" s="1"/>
  <c r="AD33" i="4" s="1"/>
  <c r="AC13" i="4"/>
  <c r="AC23" i="4" s="1"/>
  <c r="AC33" i="4" s="1"/>
  <c r="AB13" i="4"/>
  <c r="AB23" i="4" s="1"/>
  <c r="AA13" i="4"/>
  <c r="Z13" i="4"/>
  <c r="Z23" i="4" s="1"/>
  <c r="Z33" i="4" s="1"/>
  <c r="Y13" i="4"/>
  <c r="X13" i="4"/>
  <c r="X23" i="4" s="1"/>
  <c r="X33" i="4" s="1"/>
  <c r="W13" i="4"/>
  <c r="W23" i="4" s="1"/>
  <c r="W33" i="4" s="1"/>
  <c r="V13" i="4"/>
  <c r="V23" i="4" s="1"/>
  <c r="V33" i="4" s="1"/>
  <c r="U13" i="4"/>
  <c r="U23" i="4" s="1"/>
  <c r="U33" i="4" s="1"/>
  <c r="T13" i="4"/>
  <c r="T23" i="4" s="1"/>
  <c r="T33" i="4" s="1"/>
  <c r="S13" i="4"/>
  <c r="S23" i="4" s="1"/>
  <c r="S33" i="4" s="1"/>
  <c r="R13" i="4"/>
  <c r="Q13" i="4"/>
  <c r="Q23" i="4" s="1"/>
  <c r="Q33" i="4" s="1"/>
  <c r="P13" i="4"/>
  <c r="O13" i="4"/>
  <c r="N13" i="4"/>
  <c r="N23" i="4" s="1"/>
  <c r="N33" i="4" s="1"/>
  <c r="M13" i="4"/>
  <c r="L13" i="4"/>
  <c r="K13" i="4"/>
  <c r="J13" i="4"/>
  <c r="J23" i="4" s="1"/>
  <c r="J33" i="4" s="1"/>
  <c r="I13" i="4"/>
  <c r="I23" i="4" s="1"/>
  <c r="I33" i="4" s="1"/>
  <c r="H13" i="4"/>
  <c r="H23" i="4" s="1"/>
  <c r="H33" i="4" s="1"/>
  <c r="G13" i="4"/>
  <c r="G23" i="4" s="1"/>
  <c r="G33" i="4" s="1"/>
  <c r="F13" i="4"/>
  <c r="F23" i="4" s="1"/>
  <c r="F33" i="4" s="1"/>
  <c r="E13" i="4"/>
  <c r="E23" i="4" s="1"/>
  <c r="E33" i="4" s="1"/>
  <c r="D13" i="4"/>
  <c r="A13" i="4"/>
  <c r="AM12" i="4"/>
  <c r="AM22" i="4" s="1"/>
  <c r="AM32" i="4" s="1"/>
  <c r="AL12" i="4"/>
  <c r="AL22" i="4" s="1"/>
  <c r="AL32" i="4" s="1"/>
  <c r="AK12" i="4"/>
  <c r="AK22" i="4" s="1"/>
  <c r="AK32" i="4" s="1"/>
  <c r="AJ12" i="4"/>
  <c r="AJ22" i="4" s="1"/>
  <c r="AJ32" i="4" s="1"/>
  <c r="AI12" i="4"/>
  <c r="AI22" i="4" s="1"/>
  <c r="AI32" i="4" s="1"/>
  <c r="AH12" i="4"/>
  <c r="AH22" i="4" s="1"/>
  <c r="AH32" i="4" s="1"/>
  <c r="AG12" i="4"/>
  <c r="AG22" i="4" s="1"/>
  <c r="AG32" i="4" s="1"/>
  <c r="AF12" i="4"/>
  <c r="AF22" i="4" s="1"/>
  <c r="AF32" i="4" s="1"/>
  <c r="AE12" i="4"/>
  <c r="AE22" i="4" s="1"/>
  <c r="AE32" i="4" s="1"/>
  <c r="AD12" i="4"/>
  <c r="AD22" i="4" s="1"/>
  <c r="AD32" i="4" s="1"/>
  <c r="AC12" i="4"/>
  <c r="AC22" i="4" s="1"/>
  <c r="AC32" i="4" s="1"/>
  <c r="AB12" i="4"/>
  <c r="AA12" i="4"/>
  <c r="AA22" i="4" s="1"/>
  <c r="AA32" i="4" s="1"/>
  <c r="Z12" i="4"/>
  <c r="Z22" i="4" s="1"/>
  <c r="Z32" i="4" s="1"/>
  <c r="Y12" i="4"/>
  <c r="Y22" i="4" s="1"/>
  <c r="Y32" i="4" s="1"/>
  <c r="X12" i="4"/>
  <c r="X22" i="4" s="1"/>
  <c r="X32" i="4" s="1"/>
  <c r="W12" i="4"/>
  <c r="W22" i="4" s="1"/>
  <c r="W32" i="4" s="1"/>
  <c r="V12" i="4"/>
  <c r="V22" i="4" s="1"/>
  <c r="V32" i="4" s="1"/>
  <c r="U12" i="4"/>
  <c r="U22" i="4" s="1"/>
  <c r="U32" i="4" s="1"/>
  <c r="T12" i="4"/>
  <c r="T22" i="4" s="1"/>
  <c r="T32" i="4" s="1"/>
  <c r="S12" i="4"/>
  <c r="S22" i="4" s="1"/>
  <c r="S32" i="4" s="1"/>
  <c r="R12" i="4"/>
  <c r="R22" i="4" s="1"/>
  <c r="R32" i="4" s="1"/>
  <c r="Q12" i="4"/>
  <c r="Q22" i="4" s="1"/>
  <c r="Q32" i="4" s="1"/>
  <c r="P12" i="4"/>
  <c r="O12" i="4"/>
  <c r="O22" i="4" s="1"/>
  <c r="O32" i="4" s="1"/>
  <c r="N12" i="4"/>
  <c r="N22" i="4" s="1"/>
  <c r="N32" i="4" s="1"/>
  <c r="M12" i="4"/>
  <c r="M22" i="4" s="1"/>
  <c r="M32" i="4" s="1"/>
  <c r="L12" i="4"/>
  <c r="L22" i="4" s="1"/>
  <c r="L32" i="4" s="1"/>
  <c r="K12" i="4"/>
  <c r="K22" i="4" s="1"/>
  <c r="K32" i="4" s="1"/>
  <c r="J12" i="4"/>
  <c r="J22" i="4" s="1"/>
  <c r="J32" i="4" s="1"/>
  <c r="I12" i="4"/>
  <c r="I22" i="4" s="1"/>
  <c r="I32" i="4" s="1"/>
  <c r="H12" i="4"/>
  <c r="H22" i="4" s="1"/>
  <c r="H32" i="4" s="1"/>
  <c r="G12" i="4"/>
  <c r="G22" i="4" s="1"/>
  <c r="G32" i="4" s="1"/>
  <c r="F12" i="4"/>
  <c r="F22" i="4" s="1"/>
  <c r="F32" i="4" s="1"/>
  <c r="E12" i="4"/>
  <c r="E22" i="4" s="1"/>
  <c r="E32" i="4" s="1"/>
  <c r="D12" i="4"/>
  <c r="D22" i="4" s="1"/>
  <c r="A12" i="4"/>
  <c r="A6" i="5" s="1"/>
  <c r="AM11" i="4"/>
  <c r="AM21" i="4" s="1"/>
  <c r="AM31" i="4" s="1"/>
  <c r="AL11" i="4"/>
  <c r="AL21" i="4" s="1"/>
  <c r="AL31" i="4" s="1"/>
  <c r="AK11" i="4"/>
  <c r="AK21" i="4" s="1"/>
  <c r="AK31" i="4" s="1"/>
  <c r="AJ11" i="4"/>
  <c r="AJ21" i="4" s="1"/>
  <c r="AJ31" i="4" s="1"/>
  <c r="AI11" i="4"/>
  <c r="AI21" i="4" s="1"/>
  <c r="AI31" i="4" s="1"/>
  <c r="AH11" i="4"/>
  <c r="AH21" i="4" s="1"/>
  <c r="AH31" i="4" s="1"/>
  <c r="AG11" i="4"/>
  <c r="AG21" i="4" s="1"/>
  <c r="AG31" i="4" s="1"/>
  <c r="AF11" i="4"/>
  <c r="AF21" i="4" s="1"/>
  <c r="AF31" i="4" s="1"/>
  <c r="AE11" i="4"/>
  <c r="AE21" i="4" s="1"/>
  <c r="AE31" i="4" s="1"/>
  <c r="AD11" i="4"/>
  <c r="AC11" i="4"/>
  <c r="AC21" i="4" s="1"/>
  <c r="AC31" i="4" s="1"/>
  <c r="AB11" i="4"/>
  <c r="AB21" i="4" s="1"/>
  <c r="AA11" i="4"/>
  <c r="AA21" i="4" s="1"/>
  <c r="AA31" i="4" s="1"/>
  <c r="Z11" i="4"/>
  <c r="Z21" i="4" s="1"/>
  <c r="Z31" i="4" s="1"/>
  <c r="Y11" i="4"/>
  <c r="Y21" i="4" s="1"/>
  <c r="Y31" i="4" s="1"/>
  <c r="X11" i="4"/>
  <c r="X21" i="4" s="1"/>
  <c r="X31" i="4" s="1"/>
  <c r="W11" i="4"/>
  <c r="W21" i="4" s="1"/>
  <c r="W31" i="4" s="1"/>
  <c r="V11" i="4"/>
  <c r="V21" i="4" s="1"/>
  <c r="V31" i="4" s="1"/>
  <c r="U11" i="4"/>
  <c r="U21" i="4" s="1"/>
  <c r="U31" i="4" s="1"/>
  <c r="T11" i="4"/>
  <c r="T21" i="4" s="1"/>
  <c r="T31" i="4" s="1"/>
  <c r="S11" i="4"/>
  <c r="S21" i="4" s="1"/>
  <c r="S31" i="4" s="1"/>
  <c r="R11" i="4"/>
  <c r="R21" i="4" s="1"/>
  <c r="R31" i="4" s="1"/>
  <c r="Q11" i="4"/>
  <c r="Q21" i="4" s="1"/>
  <c r="Q31" i="4" s="1"/>
  <c r="P11" i="4"/>
  <c r="O11" i="4"/>
  <c r="N11" i="4"/>
  <c r="N21" i="4" s="1"/>
  <c r="N31" i="4" s="1"/>
  <c r="M11" i="4"/>
  <c r="M21" i="4" s="1"/>
  <c r="M31" i="4" s="1"/>
  <c r="L11" i="4"/>
  <c r="L21" i="4" s="1"/>
  <c r="L31" i="4" s="1"/>
  <c r="K11" i="4"/>
  <c r="K21" i="4" s="1"/>
  <c r="K31" i="4" s="1"/>
  <c r="J11" i="4"/>
  <c r="J21" i="4" s="1"/>
  <c r="J31" i="4" s="1"/>
  <c r="I11" i="4"/>
  <c r="I21" i="4" s="1"/>
  <c r="I31" i="4" s="1"/>
  <c r="H11" i="4"/>
  <c r="H21" i="4" s="1"/>
  <c r="H31" i="4" s="1"/>
  <c r="G11" i="4"/>
  <c r="G21" i="4" s="1"/>
  <c r="G31" i="4" s="1"/>
  <c r="F11" i="4"/>
  <c r="F21" i="4" s="1"/>
  <c r="F31" i="4" s="1"/>
  <c r="E11" i="4"/>
  <c r="E21" i="4" s="1"/>
  <c r="E31" i="4" s="1"/>
  <c r="D11" i="4"/>
  <c r="A11" i="4"/>
  <c r="A5" i="5" s="1"/>
  <c r="AM10" i="4"/>
  <c r="AM20" i="4" s="1"/>
  <c r="AM30" i="4" s="1"/>
  <c r="AL10" i="4"/>
  <c r="AK10" i="4"/>
  <c r="AK20" i="4" s="1"/>
  <c r="AK30" i="4" s="1"/>
  <c r="AJ10" i="4"/>
  <c r="AJ20" i="4" s="1"/>
  <c r="AJ30" i="4" s="1"/>
  <c r="AI10" i="4"/>
  <c r="AI20" i="4" s="1"/>
  <c r="AI30" i="4" s="1"/>
  <c r="AH10" i="4"/>
  <c r="AG10" i="4"/>
  <c r="AG20" i="4" s="1"/>
  <c r="AG30" i="4" s="1"/>
  <c r="AF10" i="4"/>
  <c r="AE10" i="4"/>
  <c r="AD10" i="4"/>
  <c r="AC10" i="4"/>
  <c r="AB10" i="4"/>
  <c r="AA10" i="4"/>
  <c r="Z10" i="4"/>
  <c r="Y10" i="4"/>
  <c r="Y20" i="4" s="1"/>
  <c r="Y30" i="4" s="1"/>
  <c r="X10" i="4"/>
  <c r="W10" i="4"/>
  <c r="V10" i="4"/>
  <c r="V20" i="4" s="1"/>
  <c r="V30" i="4" s="1"/>
  <c r="U10" i="4"/>
  <c r="U20" i="4" s="1"/>
  <c r="T10" i="4"/>
  <c r="T20" i="4" s="1"/>
  <c r="T30" i="4" s="1"/>
  <c r="S10" i="4"/>
  <c r="R10" i="4"/>
  <c r="Q10" i="4"/>
  <c r="P10" i="4"/>
  <c r="O10" i="4"/>
  <c r="N10" i="4"/>
  <c r="M10" i="4"/>
  <c r="L10" i="4"/>
  <c r="K10" i="4"/>
  <c r="J10" i="4"/>
  <c r="I10" i="4"/>
  <c r="I20" i="4" s="1"/>
  <c r="I30" i="4" s="1"/>
  <c r="H10" i="4"/>
  <c r="G10" i="4"/>
  <c r="F10" i="4"/>
  <c r="F20" i="4" s="1"/>
  <c r="F30" i="4" s="1"/>
  <c r="E10" i="4"/>
  <c r="E20" i="4" s="1"/>
  <c r="E30" i="4" s="1"/>
  <c r="D10" i="4"/>
  <c r="A10" i="4"/>
  <c r="A4" i="5" s="1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U19" i="4" s="1"/>
  <c r="U29" i="4" s="1"/>
  <c r="T9" i="4"/>
  <c r="T19" i="4" s="1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9" i="4"/>
  <c r="A3" i="5" s="1"/>
  <c r="AO66" i="3"/>
  <c r="AM44" i="4" s="1"/>
  <c r="AN66" i="3"/>
  <c r="AL44" i="4" s="1"/>
  <c r="AM66" i="3"/>
  <c r="AK44" i="4" s="1"/>
  <c r="AL66" i="3"/>
  <c r="AJ44" i="4" s="1"/>
  <c r="AK66" i="3"/>
  <c r="AI44" i="4" s="1"/>
  <c r="AJ66" i="3"/>
  <c r="AH44" i="4" s="1"/>
  <c r="AI66" i="3"/>
  <c r="AG44" i="4" s="1"/>
  <c r="AH66" i="3"/>
  <c r="AF44" i="4" s="1"/>
  <c r="AG66" i="3"/>
  <c r="AE44" i="4" s="1"/>
  <c r="AF66" i="3"/>
  <c r="AD44" i="4" s="1"/>
  <c r="AE66" i="3"/>
  <c r="AC44" i="4" s="1"/>
  <c r="AD66" i="3"/>
  <c r="AB44" i="4" s="1"/>
  <c r="AC66" i="3"/>
  <c r="AA44" i="4" s="1"/>
  <c r="AB66" i="3"/>
  <c r="Z44" i="4" s="1"/>
  <c r="AA66" i="3"/>
  <c r="Y44" i="4" s="1"/>
  <c r="Z66" i="3"/>
  <c r="X44" i="4" s="1"/>
  <c r="Y66" i="3"/>
  <c r="W44" i="4" s="1"/>
  <c r="X66" i="3"/>
  <c r="V44" i="4" s="1"/>
  <c r="W66" i="3"/>
  <c r="U44" i="4" s="1"/>
  <c r="V66" i="3"/>
  <c r="T44" i="4" s="1"/>
  <c r="U66" i="3"/>
  <c r="S44" i="4" s="1"/>
  <c r="T66" i="3"/>
  <c r="R44" i="4" s="1"/>
  <c r="S66" i="3"/>
  <c r="Q44" i="4" s="1"/>
  <c r="R66" i="3"/>
  <c r="P44" i="4" s="1"/>
  <c r="Q66" i="3"/>
  <c r="O44" i="4" s="1"/>
  <c r="P66" i="3"/>
  <c r="N44" i="4" s="1"/>
  <c r="O66" i="3"/>
  <c r="M44" i="4" s="1"/>
  <c r="N66" i="3"/>
  <c r="L44" i="4" s="1"/>
  <c r="M66" i="3"/>
  <c r="K44" i="4" s="1"/>
  <c r="L66" i="3"/>
  <c r="J44" i="4" s="1"/>
  <c r="K66" i="3"/>
  <c r="I44" i="4" s="1"/>
  <c r="J66" i="3"/>
  <c r="H44" i="4" s="1"/>
  <c r="I66" i="3"/>
  <c r="G44" i="4" s="1"/>
  <c r="H66" i="3"/>
  <c r="F44" i="4" s="1"/>
  <c r="G66" i="3"/>
  <c r="E44" i="4" s="1"/>
  <c r="AO57" i="3"/>
  <c r="AM43" i="4" s="1"/>
  <c r="AN57" i="3"/>
  <c r="AL43" i="4" s="1"/>
  <c r="AM57" i="3"/>
  <c r="AK43" i="4" s="1"/>
  <c r="AL57" i="3"/>
  <c r="AJ43" i="4" s="1"/>
  <c r="AK57" i="3"/>
  <c r="AI43" i="4" s="1"/>
  <c r="AJ57" i="3"/>
  <c r="AH43" i="4" s="1"/>
  <c r="AI57" i="3"/>
  <c r="AG43" i="4" s="1"/>
  <c r="AH57" i="3"/>
  <c r="AF43" i="4" s="1"/>
  <c r="AG57" i="3"/>
  <c r="AE43" i="4" s="1"/>
  <c r="AF57" i="3"/>
  <c r="AD43" i="4" s="1"/>
  <c r="AE57" i="3"/>
  <c r="AC43" i="4" s="1"/>
  <c r="AD57" i="3"/>
  <c r="AB43" i="4" s="1"/>
  <c r="AC57" i="3"/>
  <c r="AA43" i="4" s="1"/>
  <c r="AB57" i="3"/>
  <c r="Z43" i="4" s="1"/>
  <c r="AA57" i="3"/>
  <c r="Y43" i="4" s="1"/>
  <c r="Z57" i="3"/>
  <c r="X43" i="4" s="1"/>
  <c r="Y57" i="3"/>
  <c r="W43" i="4" s="1"/>
  <c r="X57" i="3"/>
  <c r="V43" i="4" s="1"/>
  <c r="W57" i="3"/>
  <c r="U43" i="4" s="1"/>
  <c r="V57" i="3"/>
  <c r="T43" i="4" s="1"/>
  <c r="U57" i="3"/>
  <c r="S43" i="4" s="1"/>
  <c r="T57" i="3"/>
  <c r="R43" i="4" s="1"/>
  <c r="S57" i="3"/>
  <c r="Q43" i="4" s="1"/>
  <c r="R57" i="3"/>
  <c r="P43" i="4" s="1"/>
  <c r="Q57" i="3"/>
  <c r="O43" i="4" s="1"/>
  <c r="P57" i="3"/>
  <c r="N43" i="4" s="1"/>
  <c r="O57" i="3"/>
  <c r="M43" i="4" s="1"/>
  <c r="N57" i="3"/>
  <c r="L43" i="4" s="1"/>
  <c r="M57" i="3"/>
  <c r="K43" i="4" s="1"/>
  <c r="L57" i="3"/>
  <c r="J43" i="4" s="1"/>
  <c r="K57" i="3"/>
  <c r="I43" i="4" s="1"/>
  <c r="J57" i="3"/>
  <c r="H43" i="4" s="1"/>
  <c r="I57" i="3"/>
  <c r="G43" i="4" s="1"/>
  <c r="H57" i="3"/>
  <c r="F43" i="4" s="1"/>
  <c r="G57" i="3"/>
  <c r="E43" i="4" s="1"/>
  <c r="F57" i="3"/>
  <c r="D43" i="4" s="1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AO25" i="3"/>
  <c r="AM41" i="4" s="1"/>
  <c r="AN25" i="3"/>
  <c r="AL41" i="4" s="1"/>
  <c r="AM25" i="3"/>
  <c r="AK41" i="4" s="1"/>
  <c r="AL25" i="3"/>
  <c r="AJ41" i="4" s="1"/>
  <c r="AK25" i="3"/>
  <c r="AI41" i="4" s="1"/>
  <c r="AJ25" i="3"/>
  <c r="AH41" i="4" s="1"/>
  <c r="AI25" i="3"/>
  <c r="AG41" i="4" s="1"/>
  <c r="AH25" i="3"/>
  <c r="AF41" i="4" s="1"/>
  <c r="AG25" i="3"/>
  <c r="AE41" i="4" s="1"/>
  <c r="AF25" i="3"/>
  <c r="AD41" i="4" s="1"/>
  <c r="AE25" i="3"/>
  <c r="AC41" i="4" s="1"/>
  <c r="AD25" i="3"/>
  <c r="AB41" i="4" s="1"/>
  <c r="AC25" i="3"/>
  <c r="AA41" i="4" s="1"/>
  <c r="AB25" i="3"/>
  <c r="Z41" i="4" s="1"/>
  <c r="AA25" i="3"/>
  <c r="Y41" i="4" s="1"/>
  <c r="Z25" i="3"/>
  <c r="X41" i="4" s="1"/>
  <c r="Y25" i="3"/>
  <c r="W41" i="4" s="1"/>
  <c r="X25" i="3"/>
  <c r="V41" i="4" s="1"/>
  <c r="W25" i="3"/>
  <c r="U41" i="4" s="1"/>
  <c r="V25" i="3"/>
  <c r="T41" i="4" s="1"/>
  <c r="U25" i="3"/>
  <c r="S41" i="4" s="1"/>
  <c r="T25" i="3"/>
  <c r="R41" i="4" s="1"/>
  <c r="S25" i="3"/>
  <c r="Q41" i="4" s="1"/>
  <c r="R25" i="3"/>
  <c r="P41" i="4" s="1"/>
  <c r="Q25" i="3"/>
  <c r="O41" i="4" s="1"/>
  <c r="P25" i="3"/>
  <c r="N41" i="4" s="1"/>
  <c r="O25" i="3"/>
  <c r="M41" i="4" s="1"/>
  <c r="N25" i="3"/>
  <c r="L41" i="4" s="1"/>
  <c r="M25" i="3"/>
  <c r="K41" i="4" s="1"/>
  <c r="L25" i="3"/>
  <c r="J41" i="4" s="1"/>
  <c r="K25" i="3"/>
  <c r="I41" i="4" s="1"/>
  <c r="J25" i="3"/>
  <c r="H41" i="4" s="1"/>
  <c r="I25" i="3"/>
  <c r="G41" i="4" s="1"/>
  <c r="H25" i="3"/>
  <c r="F41" i="4" s="1"/>
  <c r="G25" i="3"/>
  <c r="E41" i="4" s="1"/>
  <c r="F25" i="3"/>
  <c r="D41" i="4" s="1"/>
  <c r="F7" i="3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AB24" i="2"/>
  <c r="Y24" i="2"/>
  <c r="U24" i="2"/>
  <c r="B24" i="2"/>
  <c r="T24" i="2" s="1"/>
  <c r="A24" i="2"/>
  <c r="U23" i="2"/>
  <c r="T23" i="2"/>
  <c r="S23" i="2"/>
  <c r="B23" i="2"/>
  <c r="AK23" i="2" s="1"/>
  <c r="A23" i="2"/>
  <c r="B22" i="2"/>
  <c r="X22" i="2" s="1"/>
  <c r="A22" i="2"/>
  <c r="B21" i="2"/>
  <c r="T21" i="2" s="1"/>
  <c r="A21" i="2"/>
  <c r="B20" i="2"/>
  <c r="AM20" i="2" s="1"/>
  <c r="A20" i="2"/>
  <c r="B19" i="2"/>
  <c r="AL19" i="2" s="1"/>
  <c r="A19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A14" i="2"/>
  <c r="A13" i="2"/>
  <c r="A12" i="2"/>
  <c r="A11" i="2"/>
  <c r="A10" i="2"/>
  <c r="A9" i="2"/>
  <c r="D5" i="2"/>
  <c r="E5" i="2" s="1"/>
  <c r="F5" i="2" s="1"/>
  <c r="P13" i="1"/>
  <c r="B34" i="4" s="1"/>
  <c r="P12" i="1"/>
  <c r="B33" i="4" s="1"/>
  <c r="R11" i="1"/>
  <c r="Q11" i="1"/>
  <c r="P11" i="1"/>
  <c r="B32" i="4" s="1"/>
  <c r="P10" i="1"/>
  <c r="Q10" i="1" s="1"/>
  <c r="R10" i="1" s="1"/>
  <c r="P9" i="1"/>
  <c r="Q9" i="1" s="1"/>
  <c r="R9" i="1" s="1"/>
  <c r="P8" i="1"/>
  <c r="AL19" i="4" l="1"/>
  <c r="AF22" i="2"/>
  <c r="R21" i="2"/>
  <c r="S21" i="2"/>
  <c r="U21" i="2"/>
  <c r="AM19" i="2"/>
  <c r="AE21" i="2"/>
  <c r="W23" i="2"/>
  <c r="AI21" i="2"/>
  <c r="AL23" i="2"/>
  <c r="AK21" i="2"/>
  <c r="AM23" i="2"/>
  <c r="Z20" i="2"/>
  <c r="AL21" i="2"/>
  <c r="AA20" i="2"/>
  <c r="K21" i="2"/>
  <c r="AI22" i="2"/>
  <c r="N21" i="2"/>
  <c r="O21" i="2"/>
  <c r="M21" i="2"/>
  <c r="AK22" i="2"/>
  <c r="P21" i="2"/>
  <c r="Q23" i="2"/>
  <c r="Q21" i="2"/>
  <c r="R23" i="2"/>
  <c r="N19" i="2"/>
  <c r="O19" i="2"/>
  <c r="H20" i="2"/>
  <c r="I20" i="2"/>
  <c r="X23" i="2"/>
  <c r="J24" i="2"/>
  <c r="Q19" i="2"/>
  <c r="J20" i="2"/>
  <c r="AJ20" i="2"/>
  <c r="M22" i="2"/>
  <c r="D23" i="2"/>
  <c r="Y23" i="2"/>
  <c r="L24" i="2"/>
  <c r="AH24" i="2"/>
  <c r="R19" i="2"/>
  <c r="K20" i="2"/>
  <c r="AK20" i="2"/>
  <c r="Y21" i="2"/>
  <c r="N22" i="2"/>
  <c r="E23" i="2"/>
  <c r="AC23" i="2"/>
  <c r="M24" i="2"/>
  <c r="AI24" i="2"/>
  <c r="U19" i="2"/>
  <c r="U25" i="2" s="1"/>
  <c r="L20" i="2"/>
  <c r="AL20" i="2"/>
  <c r="AL25" i="2" s="1"/>
  <c r="AD21" i="2"/>
  <c r="O22" i="2"/>
  <c r="F23" i="2"/>
  <c r="AE23" i="2"/>
  <c r="N24" i="2"/>
  <c r="AJ24" i="2"/>
  <c r="L19" i="2"/>
  <c r="AE20" i="2"/>
  <c r="AM22" i="2"/>
  <c r="AH20" i="2"/>
  <c r="H24" i="2"/>
  <c r="L22" i="2"/>
  <c r="O20" i="2"/>
  <c r="H23" i="2"/>
  <c r="AK24" i="2"/>
  <c r="AE19" i="2"/>
  <c r="Q20" i="2"/>
  <c r="AF21" i="2"/>
  <c r="S22" i="2"/>
  <c r="I23" i="2"/>
  <c r="AG23" i="2"/>
  <c r="P24" i="2"/>
  <c r="AM24" i="2"/>
  <c r="E44" i="5"/>
  <c r="AF19" i="2"/>
  <c r="R20" i="2"/>
  <c r="D21" i="2"/>
  <c r="AG21" i="2"/>
  <c r="W22" i="2"/>
  <c r="J23" i="2"/>
  <c r="AH23" i="2"/>
  <c r="Q24" i="2"/>
  <c r="AG19" i="2"/>
  <c r="S20" i="2"/>
  <c r="I21" i="2"/>
  <c r="AH21" i="2"/>
  <c r="AC22" i="2"/>
  <c r="M23" i="2"/>
  <c r="AI23" i="2"/>
  <c r="R24" i="2"/>
  <c r="D44" i="5"/>
  <c r="AB20" i="2"/>
  <c r="M19" i="2"/>
  <c r="G20" i="2"/>
  <c r="J22" i="2"/>
  <c r="D24" i="2"/>
  <c r="K22" i="2"/>
  <c r="P19" i="2"/>
  <c r="AG24" i="2"/>
  <c r="P22" i="2"/>
  <c r="AF23" i="2"/>
  <c r="O24" i="2"/>
  <c r="D20" i="2"/>
  <c r="AL22" i="2"/>
  <c r="AC24" i="2"/>
  <c r="AG20" i="2"/>
  <c r="AD24" i="2"/>
  <c r="AF24" i="2"/>
  <c r="M15" i="4"/>
  <c r="AI20" i="2"/>
  <c r="W19" i="2"/>
  <c r="AH19" i="2"/>
  <c r="U20" i="2"/>
  <c r="AD22" i="2"/>
  <c r="O23" i="2"/>
  <c r="AJ23" i="2"/>
  <c r="S24" i="2"/>
  <c r="V15" i="4"/>
  <c r="AK19" i="2"/>
  <c r="W20" i="2"/>
  <c r="L21" i="2"/>
  <c r="AJ21" i="2"/>
  <c r="AE22" i="2"/>
  <c r="P23" i="2"/>
  <c r="AH15" i="4"/>
  <c r="W15" i="4"/>
  <c r="AE20" i="4"/>
  <c r="AE30" i="4" s="1"/>
  <c r="AH24" i="4"/>
  <c r="AH34" i="4" s="1"/>
  <c r="Z15" i="4"/>
  <c r="AI15" i="4"/>
  <c r="D60" i="5"/>
  <c r="V19" i="4"/>
  <c r="V29" i="4" s="1"/>
  <c r="K19" i="2"/>
  <c r="AD19" i="2"/>
  <c r="R19" i="4"/>
  <c r="R29" i="4" s="1"/>
  <c r="AH19" i="4"/>
  <c r="AH29" i="4" s="1"/>
  <c r="Z19" i="4"/>
  <c r="Z29" i="4" s="1"/>
  <c r="S19" i="4"/>
  <c r="E19" i="4"/>
  <c r="E29" i="4" s="1"/>
  <c r="E35" i="4" s="1"/>
  <c r="L19" i="4"/>
  <c r="L29" i="4" s="1"/>
  <c r="M19" i="4"/>
  <c r="M29" i="4" s="1"/>
  <c r="P19" i="4"/>
  <c r="P29" i="4" s="1"/>
  <c r="AB19" i="4"/>
  <c r="AB29" i="4" s="1"/>
  <c r="Z19" i="2"/>
  <c r="N19" i="4"/>
  <c r="N29" i="4" s="1"/>
  <c r="AI19" i="4"/>
  <c r="AI29" i="4" s="1"/>
  <c r="H19" i="2"/>
  <c r="AA19" i="2"/>
  <c r="O19" i="4"/>
  <c r="O29" i="4" s="1"/>
  <c r="AE19" i="4"/>
  <c r="AE29" i="4" s="1"/>
  <c r="AJ19" i="4"/>
  <c r="AJ29" i="4" s="1"/>
  <c r="AM19" i="4"/>
  <c r="AM29" i="4" s="1"/>
  <c r="Y19" i="2"/>
  <c r="AK19" i="4"/>
  <c r="AK25" i="4" s="1"/>
  <c r="F19" i="4"/>
  <c r="F25" i="4" s="1"/>
  <c r="G19" i="4"/>
  <c r="G29" i="4" s="1"/>
  <c r="K19" i="4"/>
  <c r="K29" i="4" s="1"/>
  <c r="W19" i="4"/>
  <c r="W29" i="4" s="1"/>
  <c r="X19" i="2"/>
  <c r="E19" i="2"/>
  <c r="AG19" i="4"/>
  <c r="AG29" i="4" s="1"/>
  <c r="AG35" i="4" s="1"/>
  <c r="G19" i="2"/>
  <c r="I19" i="2"/>
  <c r="AB19" i="2"/>
  <c r="J19" i="2"/>
  <c r="AC19" i="2"/>
  <c r="Q19" i="4"/>
  <c r="Q29" i="4" s="1"/>
  <c r="Q12" i="1"/>
  <c r="R12" i="1" s="1"/>
  <c r="T15" i="4"/>
  <c r="F59" i="3"/>
  <c r="F27" i="3"/>
  <c r="D5" i="4"/>
  <c r="F44" i="3"/>
  <c r="H19" i="4"/>
  <c r="H15" i="4"/>
  <c r="S20" i="4"/>
  <c r="S30" i="4" s="1"/>
  <c r="D4" i="5"/>
  <c r="E5" i="5"/>
  <c r="AD21" i="4"/>
  <c r="AD31" i="4" s="1"/>
  <c r="C7" i="5"/>
  <c r="D23" i="4"/>
  <c r="I15" i="4"/>
  <c r="I19" i="4"/>
  <c r="Y19" i="4"/>
  <c r="Y15" i="4"/>
  <c r="C4" i="5"/>
  <c r="D20" i="4"/>
  <c r="O21" i="4"/>
  <c r="O31" i="4" s="1"/>
  <c r="O15" i="4"/>
  <c r="P24" i="4"/>
  <c r="D8" i="5"/>
  <c r="C3" i="5"/>
  <c r="J15" i="4"/>
  <c r="J19" i="4"/>
  <c r="U30" i="4"/>
  <c r="U35" i="4" s="1"/>
  <c r="U25" i="4"/>
  <c r="P21" i="4"/>
  <c r="D5" i="5"/>
  <c r="P15" i="4"/>
  <c r="AB31" i="4"/>
  <c r="X15" i="4"/>
  <c r="X19" i="4"/>
  <c r="AB33" i="4"/>
  <c r="Q13" i="1"/>
  <c r="R13" i="1" s="1"/>
  <c r="G5" i="2"/>
  <c r="H7" i="3"/>
  <c r="S15" i="4"/>
  <c r="C36" i="5"/>
  <c r="E34" i="5"/>
  <c r="F22" i="2"/>
  <c r="F20" i="2"/>
  <c r="Y20" i="2"/>
  <c r="F21" i="2"/>
  <c r="AB21" i="2"/>
  <c r="H22" i="2"/>
  <c r="AA22" i="2"/>
  <c r="C34" i="5"/>
  <c r="E8" i="5"/>
  <c r="Q15" i="4"/>
  <c r="AC20" i="4"/>
  <c r="AC30" i="4" s="1"/>
  <c r="B29" i="4"/>
  <c r="Q8" i="1"/>
  <c r="R8" i="1" s="1"/>
  <c r="D21" i="4"/>
  <c r="C5" i="5"/>
  <c r="AC21" i="2"/>
  <c r="I22" i="2"/>
  <c r="AB22" i="2"/>
  <c r="R15" i="4"/>
  <c r="AA15" i="4"/>
  <c r="AA19" i="4"/>
  <c r="E6" i="5"/>
  <c r="AB22" i="4"/>
  <c r="AM61" i="4"/>
  <c r="AB73" i="4"/>
  <c r="E61" i="5" s="1"/>
  <c r="AD15" i="4"/>
  <c r="AD19" i="4"/>
  <c r="AH20" i="4"/>
  <c r="AF20" i="4"/>
  <c r="AF30" i="4" s="1"/>
  <c r="AD20" i="4"/>
  <c r="AD30" i="4" s="1"/>
  <c r="Q20" i="4"/>
  <c r="N20" i="4"/>
  <c r="N30" i="4" s="1"/>
  <c r="R20" i="4"/>
  <c r="U22" i="2"/>
  <c r="D37" i="5"/>
  <c r="H20" i="4"/>
  <c r="H30" i="4" s="1"/>
  <c r="AL29" i="4"/>
  <c r="AA61" i="4"/>
  <c r="T20" i="2"/>
  <c r="V22" i="2"/>
  <c r="AD23" i="2"/>
  <c r="N23" i="2"/>
  <c r="AB23" i="2"/>
  <c r="L23" i="2"/>
  <c r="L25" i="2" s="1"/>
  <c r="AA23" i="2"/>
  <c r="K23" i="2"/>
  <c r="V23" i="2"/>
  <c r="AL24" i="2"/>
  <c r="V24" i="2"/>
  <c r="F24" i="2"/>
  <c r="Z24" i="2"/>
  <c r="I24" i="2"/>
  <c r="X24" i="2"/>
  <c r="G24" i="2"/>
  <c r="W24" i="2"/>
  <c r="E24" i="2"/>
  <c r="AA24" i="2"/>
  <c r="AF15" i="4"/>
  <c r="K20" i="4"/>
  <c r="K30" i="4" s="1"/>
  <c r="I24" i="4"/>
  <c r="I34" i="4" s="1"/>
  <c r="J24" i="4"/>
  <c r="J34" i="4" s="1"/>
  <c r="X24" i="4"/>
  <c r="X34" i="4" s="1"/>
  <c r="S24" i="4"/>
  <c r="S34" i="4" s="1"/>
  <c r="E37" i="5"/>
  <c r="A33" i="4"/>
  <c r="A17" i="5"/>
  <c r="A26" i="5"/>
  <c r="B30" i="4"/>
  <c r="D36" i="5"/>
  <c r="D38" i="5" s="1"/>
  <c r="C44" i="5"/>
  <c r="AL20" i="4"/>
  <c r="AL30" i="4" s="1"/>
  <c r="AL15" i="4"/>
  <c r="AM23" i="4"/>
  <c r="AM33" i="4" s="1"/>
  <c r="AM15" i="4"/>
  <c r="AF20" i="2"/>
  <c r="AF25" i="2" s="1"/>
  <c r="P20" i="2"/>
  <c r="AD20" i="2"/>
  <c r="N20" i="2"/>
  <c r="AC20" i="2"/>
  <c r="M20" i="2"/>
  <c r="V20" i="2"/>
  <c r="Z21" i="2"/>
  <c r="J21" i="2"/>
  <c r="X21" i="2"/>
  <c r="H21" i="2"/>
  <c r="W21" i="2"/>
  <c r="AM21" i="2"/>
  <c r="G21" i="2"/>
  <c r="V21" i="2"/>
  <c r="E22" i="2"/>
  <c r="N15" i="4"/>
  <c r="P20" i="4"/>
  <c r="M23" i="4"/>
  <c r="M33" i="4" s="1"/>
  <c r="K23" i="4"/>
  <c r="K33" i="4" s="1"/>
  <c r="AA23" i="4"/>
  <c r="AA33" i="4" s="1"/>
  <c r="Y23" i="4"/>
  <c r="Y33" i="4" s="1"/>
  <c r="K15" i="4"/>
  <c r="G7" i="3"/>
  <c r="AJ22" i="2"/>
  <c r="T22" i="2"/>
  <c r="D22" i="2"/>
  <c r="AH22" i="2"/>
  <c r="R22" i="2"/>
  <c r="AG22" i="2"/>
  <c r="Q22" i="2"/>
  <c r="M20" i="4"/>
  <c r="M30" i="4" s="1"/>
  <c r="Y22" i="2"/>
  <c r="Z20" i="4"/>
  <c r="Z30" i="4" s="1"/>
  <c r="E20" i="2"/>
  <c r="X20" i="2"/>
  <c r="E21" i="2"/>
  <c r="AA21" i="2"/>
  <c r="G22" i="2"/>
  <c r="Z22" i="2"/>
  <c r="G23" i="2"/>
  <c r="Z23" i="2"/>
  <c r="K24" i="2"/>
  <c r="AE24" i="2"/>
  <c r="D19" i="4"/>
  <c r="D15" i="4"/>
  <c r="T29" i="4"/>
  <c r="AJ15" i="4"/>
  <c r="O20" i="4"/>
  <c r="D7" i="5"/>
  <c r="P23" i="4"/>
  <c r="K24" i="4"/>
  <c r="K34" i="4" s="1"/>
  <c r="AA20" i="4"/>
  <c r="AA30" i="4" s="1"/>
  <c r="Y24" i="4"/>
  <c r="Y34" i="4" s="1"/>
  <c r="D3" i="5"/>
  <c r="L23" i="4"/>
  <c r="L33" i="4" s="1"/>
  <c r="E7" i="5"/>
  <c r="G24" i="4"/>
  <c r="G34" i="4" s="1"/>
  <c r="W24" i="4"/>
  <c r="W34" i="4" s="1"/>
  <c r="AM24" i="4"/>
  <c r="AM34" i="4" s="1"/>
  <c r="AG15" i="4"/>
  <c r="AF19" i="4"/>
  <c r="AI19" i="2"/>
  <c r="L15" i="4"/>
  <c r="E3" i="5"/>
  <c r="AB15" i="4"/>
  <c r="G20" i="4"/>
  <c r="G30" i="4" s="1"/>
  <c r="W20" i="4"/>
  <c r="W30" i="4" s="1"/>
  <c r="AI24" i="4"/>
  <c r="AI34" i="4" s="1"/>
  <c r="E36" i="5"/>
  <c r="E38" i="5" s="1"/>
  <c r="C60" i="5"/>
  <c r="S19" i="2"/>
  <c r="D19" i="2"/>
  <c r="T19" i="2"/>
  <c r="AJ19" i="2"/>
  <c r="AC15" i="4"/>
  <c r="X20" i="4"/>
  <c r="X30" i="4" s="1"/>
  <c r="D24" i="4"/>
  <c r="C8" i="5"/>
  <c r="T24" i="4"/>
  <c r="T34" i="4" s="1"/>
  <c r="AJ24" i="4"/>
  <c r="AJ34" i="4" s="1"/>
  <c r="F19" i="2"/>
  <c r="V19" i="2"/>
  <c r="D34" i="5"/>
  <c r="J20" i="4"/>
  <c r="J30" i="4" s="1"/>
  <c r="AC19" i="4"/>
  <c r="P22" i="4"/>
  <c r="D6" i="5"/>
  <c r="V24" i="4"/>
  <c r="V34" i="4" s="1"/>
  <c r="AL24" i="4"/>
  <c r="AL34" i="4" s="1"/>
  <c r="AE15" i="4"/>
  <c r="C57" i="5"/>
  <c r="L20" i="4"/>
  <c r="E4" i="5"/>
  <c r="AB20" i="4"/>
  <c r="C16" i="5"/>
  <c r="D32" i="4"/>
  <c r="C25" i="5" s="1"/>
  <c r="C6" i="5"/>
  <c r="O23" i="4"/>
  <c r="O33" i="4" s="1"/>
  <c r="F15" i="4"/>
  <c r="G15" i="4"/>
  <c r="E15" i="4"/>
  <c r="U15" i="4"/>
  <c r="AK15" i="4"/>
  <c r="L24" i="4"/>
  <c r="L34" i="4" s="1"/>
  <c r="AB24" i="4"/>
  <c r="D73" i="4"/>
  <c r="C61" i="5" s="1"/>
  <c r="O61" i="4"/>
  <c r="R23" i="4"/>
  <c r="R33" i="4" s="1"/>
  <c r="AH23" i="4"/>
  <c r="AH33" i="4" s="1"/>
  <c r="M24" i="4"/>
  <c r="M34" i="4" s="1"/>
  <c r="AC24" i="4"/>
  <c r="AC34" i="4" s="1"/>
  <c r="D61" i="5"/>
  <c r="E60" i="5"/>
  <c r="A29" i="4"/>
  <c r="F62" i="5"/>
  <c r="A13" i="5"/>
  <c r="N25" i="2" l="1"/>
  <c r="M25" i="2"/>
  <c r="T25" i="2"/>
  <c r="F44" i="5"/>
  <c r="AG25" i="4"/>
  <c r="S25" i="2"/>
  <c r="AK25" i="2"/>
  <c r="AE35" i="4"/>
  <c r="AH25" i="2"/>
  <c r="J25" i="2"/>
  <c r="O25" i="2"/>
  <c r="AG25" i="2"/>
  <c r="Q25" i="2"/>
  <c r="AE25" i="2"/>
  <c r="H25" i="2"/>
  <c r="K25" i="2"/>
  <c r="W25" i="2"/>
  <c r="I25" i="2"/>
  <c r="R25" i="2"/>
  <c r="F25" i="2"/>
  <c r="X25" i="2"/>
  <c r="F29" i="4"/>
  <c r="F35" i="4" s="1"/>
  <c r="D25" i="2"/>
  <c r="AB25" i="2"/>
  <c r="AM25" i="2"/>
  <c r="V25" i="2"/>
  <c r="AI25" i="2"/>
  <c r="T35" i="4"/>
  <c r="G35" i="4"/>
  <c r="T25" i="4"/>
  <c r="P25" i="2"/>
  <c r="AA25" i="2"/>
  <c r="S25" i="4"/>
  <c r="AK29" i="4"/>
  <c r="AK35" i="4" s="1"/>
  <c r="M35" i="4"/>
  <c r="N35" i="4"/>
  <c r="AD25" i="2"/>
  <c r="AE25" i="4"/>
  <c r="G25" i="4"/>
  <c r="F5" i="5"/>
  <c r="S29" i="4"/>
  <c r="F4" i="5"/>
  <c r="S35" i="4"/>
  <c r="S37" i="4" s="1"/>
  <c r="AG37" i="4"/>
  <c r="AG38" i="4" s="1"/>
  <c r="AK37" i="4"/>
  <c r="AK38" i="4" s="1"/>
  <c r="E25" i="2"/>
  <c r="Z25" i="2"/>
  <c r="AC25" i="2"/>
  <c r="U37" i="4"/>
  <c r="U38" i="4" s="1"/>
  <c r="G25" i="2"/>
  <c r="E25" i="4"/>
  <c r="E37" i="4" s="1"/>
  <c r="E38" i="4" s="1"/>
  <c r="AJ25" i="2"/>
  <c r="I7" i="3"/>
  <c r="H5" i="2"/>
  <c r="D17" i="5"/>
  <c r="P33" i="4"/>
  <c r="D26" i="5" s="1"/>
  <c r="R30" i="4"/>
  <c r="R35" i="4" s="1"/>
  <c r="R25" i="4"/>
  <c r="V35" i="4"/>
  <c r="E17" i="5"/>
  <c r="C38" i="5"/>
  <c r="F36" i="5"/>
  <c r="F38" i="5" s="1"/>
  <c r="D15" i="5"/>
  <c r="P31" i="4"/>
  <c r="D24" i="5" s="1"/>
  <c r="F41" i="3"/>
  <c r="F37" i="3"/>
  <c r="F33" i="3"/>
  <c r="F38" i="3"/>
  <c r="F40" i="3"/>
  <c r="F30" i="3"/>
  <c r="F28" i="3"/>
  <c r="F32" i="3"/>
  <c r="F39" i="3"/>
  <c r="F34" i="3"/>
  <c r="F31" i="3"/>
  <c r="F35" i="3"/>
  <c r="F29" i="3"/>
  <c r="V25" i="4"/>
  <c r="E26" i="5"/>
  <c r="D30" i="4"/>
  <c r="C14" i="5"/>
  <c r="AM25" i="4"/>
  <c r="O30" i="4"/>
  <c r="O35" i="4" s="1"/>
  <c r="O25" i="4"/>
  <c r="E5" i="4"/>
  <c r="G59" i="3"/>
  <c r="G44" i="3"/>
  <c r="G27" i="3"/>
  <c r="K25" i="4"/>
  <c r="Z25" i="4"/>
  <c r="F34" i="5"/>
  <c r="K35" i="4"/>
  <c r="Z35" i="4"/>
  <c r="AH30" i="4"/>
  <c r="AH35" i="4" s="1"/>
  <c r="AH25" i="4"/>
  <c r="I25" i="4"/>
  <c r="I29" i="4"/>
  <c r="I35" i="4" s="1"/>
  <c r="M25" i="4"/>
  <c r="F60" i="5"/>
  <c r="D25" i="4"/>
  <c r="C13" i="5"/>
  <c r="D29" i="4"/>
  <c r="AD25" i="4"/>
  <c r="AD29" i="4"/>
  <c r="AD35" i="4" s="1"/>
  <c r="J29" i="4"/>
  <c r="J35" i="4" s="1"/>
  <c r="J25" i="4"/>
  <c r="D9" i="5"/>
  <c r="AL35" i="4"/>
  <c r="P30" i="4"/>
  <c r="D14" i="5"/>
  <c r="E16" i="5"/>
  <c r="AB32" i="4"/>
  <c r="E25" i="5" s="1"/>
  <c r="C15" i="5"/>
  <c r="D31" i="4"/>
  <c r="C24" i="5" s="1"/>
  <c r="Y25" i="2"/>
  <c r="AI25" i="4"/>
  <c r="C9" i="5"/>
  <c r="F3" i="5"/>
  <c r="AL25" i="4"/>
  <c r="P32" i="4"/>
  <c r="D25" i="5" s="1"/>
  <c r="D16" i="5"/>
  <c r="H44" i="3"/>
  <c r="F5" i="4"/>
  <c r="H59" i="3"/>
  <c r="H27" i="3"/>
  <c r="D33" i="4"/>
  <c r="C26" i="5" s="1"/>
  <c r="C17" i="5"/>
  <c r="X25" i="4"/>
  <c r="X29" i="4"/>
  <c r="L30" i="4"/>
  <c r="L35" i="4" s="1"/>
  <c r="L25" i="4"/>
  <c r="AI35" i="4"/>
  <c r="E14" i="5"/>
  <c r="AB30" i="4"/>
  <c r="W25" i="4"/>
  <c r="Q30" i="4"/>
  <c r="Q35" i="4" s="1"/>
  <c r="Q25" i="4"/>
  <c r="AM35" i="4"/>
  <c r="AF25" i="4"/>
  <c r="AF29" i="4"/>
  <c r="AF35" i="4" s="1"/>
  <c r="F6" i="5"/>
  <c r="Y25" i="4"/>
  <c r="Y29" i="4"/>
  <c r="Y35" i="4" s="1"/>
  <c r="W35" i="4"/>
  <c r="F61" i="5"/>
  <c r="AA25" i="4"/>
  <c r="AA29" i="4"/>
  <c r="AA35" i="4" s="1"/>
  <c r="F8" i="5"/>
  <c r="D13" i="5"/>
  <c r="AJ35" i="4"/>
  <c r="E24" i="5"/>
  <c r="P34" i="4"/>
  <c r="D27" i="5" s="1"/>
  <c r="D18" i="5"/>
  <c r="F37" i="4"/>
  <c r="AC25" i="4"/>
  <c r="AC29" i="4"/>
  <c r="AC35" i="4" s="1"/>
  <c r="F7" i="5"/>
  <c r="E13" i="5"/>
  <c r="N25" i="4"/>
  <c r="AB34" i="4"/>
  <c r="E27" i="5" s="1"/>
  <c r="E18" i="5"/>
  <c r="AB25" i="4"/>
  <c r="P25" i="4"/>
  <c r="D34" i="4"/>
  <c r="C27" i="5" s="1"/>
  <c r="C18" i="5"/>
  <c r="E9" i="5"/>
  <c r="AJ25" i="4"/>
  <c r="E15" i="5"/>
  <c r="H25" i="4"/>
  <c r="H29" i="4"/>
  <c r="H35" i="4" s="1"/>
  <c r="AE37" i="4" l="1"/>
  <c r="AE38" i="4" s="1"/>
  <c r="F16" i="5"/>
  <c r="N37" i="4"/>
  <c r="N38" i="4" s="1"/>
  <c r="M37" i="4"/>
  <c r="T37" i="4"/>
  <c r="G37" i="4"/>
  <c r="G38" i="4" s="1"/>
  <c r="F24" i="5"/>
  <c r="F17" i="5"/>
  <c r="F27" i="5"/>
  <c r="F25" i="5"/>
  <c r="F26" i="5"/>
  <c r="K37" i="4"/>
  <c r="K38" i="4" s="1"/>
  <c r="Z37" i="4"/>
  <c r="Z38" i="4" s="1"/>
  <c r="E22" i="5"/>
  <c r="Q37" i="4"/>
  <c r="Q38" i="4" s="1"/>
  <c r="AJ37" i="4"/>
  <c r="AJ38" i="4" s="1"/>
  <c r="AA37" i="4"/>
  <c r="AA38" i="4" s="1"/>
  <c r="V37" i="4"/>
  <c r="V38" i="4" s="1"/>
  <c r="AL37" i="4"/>
  <c r="AL38" i="4" s="1"/>
  <c r="Y37" i="4"/>
  <c r="W37" i="4"/>
  <c r="F9" i="5"/>
  <c r="AD37" i="4"/>
  <c r="D19" i="5"/>
  <c r="AI37" i="4"/>
  <c r="C23" i="5"/>
  <c r="E19" i="5"/>
  <c r="E23" i="5"/>
  <c r="H37" i="4"/>
  <c r="L37" i="4"/>
  <c r="AB35" i="4"/>
  <c r="AB37" i="4" s="1"/>
  <c r="C22" i="5"/>
  <c r="D35" i="4"/>
  <c r="D37" i="4" s="1"/>
  <c r="S38" i="4"/>
  <c r="R37" i="4"/>
  <c r="F18" i="5"/>
  <c r="F15" i="5"/>
  <c r="G40" i="3"/>
  <c r="G35" i="3"/>
  <c r="G30" i="3"/>
  <c r="G39" i="3"/>
  <c r="G32" i="3"/>
  <c r="G37" i="3"/>
  <c r="G31" i="3"/>
  <c r="G29" i="3"/>
  <c r="G28" i="3"/>
  <c r="G34" i="3"/>
  <c r="G38" i="3"/>
  <c r="G33" i="3"/>
  <c r="G41" i="3"/>
  <c r="F42" i="3"/>
  <c r="D42" i="4" s="1"/>
  <c r="H34" i="3"/>
  <c r="H40" i="3"/>
  <c r="H32" i="3"/>
  <c r="H30" i="3"/>
  <c r="H28" i="3"/>
  <c r="H39" i="3"/>
  <c r="H29" i="3"/>
  <c r="H31" i="3"/>
  <c r="H37" i="3"/>
  <c r="H38" i="3"/>
  <c r="H35" i="3"/>
  <c r="H33" i="3"/>
  <c r="H41" i="3"/>
  <c r="M38" i="4"/>
  <c r="F38" i="4"/>
  <c r="AF37" i="4"/>
  <c r="D23" i="5"/>
  <c r="P35" i="4"/>
  <c r="P37" i="4" s="1"/>
  <c r="I37" i="4"/>
  <c r="O37" i="4"/>
  <c r="J7" i="3"/>
  <c r="I5" i="2"/>
  <c r="G5" i="4"/>
  <c r="I44" i="3"/>
  <c r="I59" i="3"/>
  <c r="I27" i="3"/>
  <c r="F13" i="5"/>
  <c r="C19" i="5"/>
  <c r="C39" i="5" s="1"/>
  <c r="AC37" i="4"/>
  <c r="X35" i="4"/>
  <c r="X37" i="4" s="1"/>
  <c r="D22" i="5"/>
  <c r="AM37" i="4"/>
  <c r="T38" i="4"/>
  <c r="J37" i="4"/>
  <c r="AH37" i="4"/>
  <c r="F14" i="5"/>
  <c r="F19" i="5" l="1"/>
  <c r="F11" i="5" s="1"/>
  <c r="E28" i="5"/>
  <c r="E30" i="5" s="1"/>
  <c r="P38" i="4"/>
  <c r="D38" i="4"/>
  <c r="AI38" i="4"/>
  <c r="J5" i="2"/>
  <c r="K7" i="3"/>
  <c r="G42" i="3"/>
  <c r="E42" i="4" s="1"/>
  <c r="E45" i="4" s="1"/>
  <c r="E47" i="4" s="1"/>
  <c r="I40" i="3"/>
  <c r="I31" i="3"/>
  <c r="I39" i="3"/>
  <c r="I28" i="3"/>
  <c r="I34" i="3"/>
  <c r="I37" i="3"/>
  <c r="I29" i="3"/>
  <c r="I33" i="3"/>
  <c r="I32" i="3"/>
  <c r="I30" i="3"/>
  <c r="I35" i="3"/>
  <c r="I38" i="3"/>
  <c r="I41" i="3"/>
  <c r="R38" i="4"/>
  <c r="AH38" i="4"/>
  <c r="X38" i="4"/>
  <c r="J38" i="4"/>
  <c r="AB38" i="4"/>
  <c r="O38" i="4"/>
  <c r="C28" i="5"/>
  <c r="C30" i="5" s="1"/>
  <c r="F22" i="5"/>
  <c r="H42" i="3"/>
  <c r="F42" i="4" s="1"/>
  <c r="F45" i="4" s="1"/>
  <c r="F47" i="4" s="1"/>
  <c r="E11" i="5"/>
  <c r="E39" i="5"/>
  <c r="Y38" i="4"/>
  <c r="D11" i="5"/>
  <c r="D39" i="5"/>
  <c r="H5" i="4"/>
  <c r="J44" i="3"/>
  <c r="J27" i="3"/>
  <c r="J59" i="3"/>
  <c r="I38" i="4"/>
  <c r="AM38" i="4"/>
  <c r="AD38" i="4"/>
  <c r="AF38" i="4"/>
  <c r="H38" i="4"/>
  <c r="D28" i="5"/>
  <c r="D30" i="5" s="1"/>
  <c r="F23" i="5"/>
  <c r="L38" i="4"/>
  <c r="W38" i="4"/>
  <c r="AC38" i="4"/>
  <c r="C11" i="5"/>
  <c r="F39" i="5" l="1"/>
  <c r="F28" i="5"/>
  <c r="F30" i="5" s="1"/>
  <c r="F31" i="5" s="1"/>
  <c r="D41" i="5"/>
  <c r="D31" i="5"/>
  <c r="E53" i="4"/>
  <c r="E64" i="4" s="1"/>
  <c r="E48" i="4"/>
  <c r="E31" i="5"/>
  <c r="E41" i="5"/>
  <c r="L7" i="3"/>
  <c r="K5" i="2"/>
  <c r="F53" i="4"/>
  <c r="F64" i="4" s="1"/>
  <c r="F48" i="4"/>
  <c r="K59" i="3"/>
  <c r="K44" i="3"/>
  <c r="K27" i="3"/>
  <c r="I5" i="4"/>
  <c r="J34" i="3"/>
  <c r="J29" i="3"/>
  <c r="J31" i="3"/>
  <c r="J32" i="3"/>
  <c r="J30" i="3"/>
  <c r="J40" i="3"/>
  <c r="J33" i="3"/>
  <c r="J39" i="3"/>
  <c r="J28" i="3"/>
  <c r="J37" i="3"/>
  <c r="J38" i="3"/>
  <c r="J41" i="3"/>
  <c r="J35" i="3"/>
  <c r="I42" i="3"/>
  <c r="G42" i="4" s="1"/>
  <c r="G45" i="4" s="1"/>
  <c r="G47" i="4" s="1"/>
  <c r="C41" i="5"/>
  <c r="C31" i="5"/>
  <c r="F41" i="5" l="1"/>
  <c r="L5" i="2"/>
  <c r="M7" i="3"/>
  <c r="J5" i="4"/>
  <c r="L44" i="3"/>
  <c r="L27" i="3"/>
  <c r="L59" i="3"/>
  <c r="E71" i="4"/>
  <c r="E65" i="4"/>
  <c r="F71" i="4"/>
  <c r="F65" i="4"/>
  <c r="J42" i="3"/>
  <c r="H42" i="4" s="1"/>
  <c r="K40" i="3"/>
  <c r="K32" i="3"/>
  <c r="K33" i="3"/>
  <c r="K30" i="3"/>
  <c r="K29" i="3"/>
  <c r="K28" i="3"/>
  <c r="K31" i="3"/>
  <c r="K37" i="3"/>
  <c r="K34" i="3"/>
  <c r="K41" i="3"/>
  <c r="K39" i="3"/>
  <c r="K38" i="3"/>
  <c r="K35" i="3"/>
  <c r="G53" i="4"/>
  <c r="G64" i="4" s="1"/>
  <c r="G48" i="4"/>
  <c r="H45" i="4" l="1"/>
  <c r="H47" i="4" s="1"/>
  <c r="K42" i="3"/>
  <c r="I42" i="4" s="1"/>
  <c r="I45" i="4" s="1"/>
  <c r="I47" i="4" s="1"/>
  <c r="K5" i="4"/>
  <c r="M44" i="3"/>
  <c r="M59" i="3"/>
  <c r="M27" i="3"/>
  <c r="G71" i="4"/>
  <c r="G65" i="4"/>
  <c r="L39" i="3"/>
  <c r="L35" i="3"/>
  <c r="L29" i="3"/>
  <c r="L41" i="3"/>
  <c r="L40" i="3"/>
  <c r="L31" i="3"/>
  <c r="L32" i="3"/>
  <c r="L28" i="3"/>
  <c r="L37" i="3"/>
  <c r="L34" i="3"/>
  <c r="L33" i="3"/>
  <c r="L30" i="3"/>
  <c r="L38" i="3"/>
  <c r="M5" i="2"/>
  <c r="N7" i="3"/>
  <c r="M33" i="3" l="1"/>
  <c r="M30" i="3"/>
  <c r="M29" i="3"/>
  <c r="M41" i="3"/>
  <c r="M37" i="3"/>
  <c r="M34" i="3"/>
  <c r="M39" i="3"/>
  <c r="M31" i="3"/>
  <c r="M38" i="3"/>
  <c r="M35" i="3"/>
  <c r="M32" i="3"/>
  <c r="M28" i="3"/>
  <c r="M40" i="3"/>
  <c r="O7" i="3"/>
  <c r="N5" i="2"/>
  <c r="L5" i="4"/>
  <c r="N44" i="3"/>
  <c r="N27" i="3"/>
  <c r="N59" i="3"/>
  <c r="I48" i="4"/>
  <c r="I53" i="4"/>
  <c r="I64" i="4" s="1"/>
  <c r="L42" i="3"/>
  <c r="J42" i="4" s="1"/>
  <c r="J45" i="4" s="1"/>
  <c r="J47" i="4" s="1"/>
  <c r="H48" i="4"/>
  <c r="H53" i="4"/>
  <c r="O59" i="3" l="1"/>
  <c r="O44" i="3"/>
  <c r="O27" i="3"/>
  <c r="M5" i="4"/>
  <c r="J48" i="4"/>
  <c r="J53" i="4"/>
  <c r="J64" i="4" s="1"/>
  <c r="P7" i="3"/>
  <c r="O5" i="2"/>
  <c r="H64" i="4"/>
  <c r="N41" i="3"/>
  <c r="N32" i="3"/>
  <c r="N28" i="3"/>
  <c r="N33" i="3"/>
  <c r="N40" i="3"/>
  <c r="N31" i="3"/>
  <c r="N29" i="3"/>
  <c r="N38" i="3"/>
  <c r="N35" i="3"/>
  <c r="N39" i="3"/>
  <c r="N37" i="3"/>
  <c r="N34" i="3"/>
  <c r="N30" i="3"/>
  <c r="M42" i="3"/>
  <c r="K42" i="4" s="1"/>
  <c r="I71" i="4"/>
  <c r="I65" i="4"/>
  <c r="H71" i="4" l="1"/>
  <c r="H65" i="4"/>
  <c r="N42" i="3"/>
  <c r="L42" i="4" s="1"/>
  <c r="L45" i="4" s="1"/>
  <c r="L47" i="4" s="1"/>
  <c r="O40" i="3"/>
  <c r="O39" i="3"/>
  <c r="O38" i="3"/>
  <c r="O28" i="3"/>
  <c r="O32" i="3"/>
  <c r="O29" i="3"/>
  <c r="O41" i="3"/>
  <c r="O33" i="3"/>
  <c r="O34" i="3"/>
  <c r="O30" i="3"/>
  <c r="O31" i="3"/>
  <c r="O37" i="3"/>
  <c r="O35" i="3"/>
  <c r="K45" i="4"/>
  <c r="K47" i="4" s="1"/>
  <c r="N5" i="4"/>
  <c r="P59" i="3"/>
  <c r="P44" i="3"/>
  <c r="P27" i="3"/>
  <c r="Q7" i="3"/>
  <c r="P5" i="2"/>
  <c r="J71" i="4"/>
  <c r="J65" i="4"/>
  <c r="R7" i="3" l="1"/>
  <c r="Q5" i="2"/>
  <c r="Q59" i="3"/>
  <c r="Q44" i="3"/>
  <c r="Q27" i="3"/>
  <c r="O5" i="4"/>
  <c r="P39" i="3"/>
  <c r="P31" i="3"/>
  <c r="P41" i="3"/>
  <c r="P32" i="3"/>
  <c r="P34" i="3"/>
  <c r="P37" i="3"/>
  <c r="P35" i="3"/>
  <c r="P33" i="3"/>
  <c r="P38" i="3"/>
  <c r="P29" i="3"/>
  <c r="P40" i="3"/>
  <c r="P28" i="3"/>
  <c r="P30" i="3"/>
  <c r="O42" i="3"/>
  <c r="M42" i="4" s="1"/>
  <c r="M45" i="4" s="1"/>
  <c r="M47" i="4" s="1"/>
  <c r="L53" i="4"/>
  <c r="L64" i="4" s="1"/>
  <c r="L48" i="4"/>
  <c r="K53" i="4"/>
  <c r="K48" i="4"/>
  <c r="M48" i="4" l="1"/>
  <c r="M53" i="4"/>
  <c r="M64" i="4" s="1"/>
  <c r="L71" i="4"/>
  <c r="L65" i="4"/>
  <c r="S7" i="3"/>
  <c r="R5" i="2"/>
  <c r="K64" i="4"/>
  <c r="Q38" i="3"/>
  <c r="Q34" i="3"/>
  <c r="Q40" i="3"/>
  <c r="Q28" i="3"/>
  <c r="Q31" i="3"/>
  <c r="Q33" i="3"/>
  <c r="Q37" i="3"/>
  <c r="Q35" i="3"/>
  <c r="Q29" i="3"/>
  <c r="Q41" i="3"/>
  <c r="Q39" i="3"/>
  <c r="Q32" i="3"/>
  <c r="Q30" i="3"/>
  <c r="P42" i="3"/>
  <c r="N42" i="4" s="1"/>
  <c r="N45" i="4" s="1"/>
  <c r="N47" i="4" s="1"/>
  <c r="R59" i="3"/>
  <c r="P5" i="4"/>
  <c r="R44" i="3"/>
  <c r="R27" i="3"/>
  <c r="N48" i="4" l="1"/>
  <c r="N53" i="4"/>
  <c r="Q42" i="3"/>
  <c r="O42" i="4" s="1"/>
  <c r="R41" i="3"/>
  <c r="R39" i="3"/>
  <c r="R38" i="3"/>
  <c r="R37" i="3"/>
  <c r="R32" i="3"/>
  <c r="R28" i="3"/>
  <c r="R31" i="3"/>
  <c r="R29" i="3"/>
  <c r="R33" i="3"/>
  <c r="R35" i="3"/>
  <c r="R34" i="3"/>
  <c r="R40" i="3"/>
  <c r="R30" i="3"/>
  <c r="T7" i="3"/>
  <c r="S5" i="2"/>
  <c r="M65" i="4"/>
  <c r="M71" i="4"/>
  <c r="K65" i="4"/>
  <c r="K71" i="4"/>
  <c r="S44" i="3"/>
  <c r="S59" i="3"/>
  <c r="S27" i="3"/>
  <c r="Q5" i="4"/>
  <c r="S31" i="3" l="1"/>
  <c r="S41" i="3"/>
  <c r="S35" i="3"/>
  <c r="S34" i="3"/>
  <c r="S33" i="3"/>
  <c r="S39" i="3"/>
  <c r="S38" i="3"/>
  <c r="S30" i="3"/>
  <c r="S29" i="3"/>
  <c r="S40" i="3"/>
  <c r="S32" i="3"/>
  <c r="S37" i="3"/>
  <c r="S28" i="3"/>
  <c r="R42" i="3"/>
  <c r="P42" i="4" s="1"/>
  <c r="T5" i="2"/>
  <c r="U7" i="3"/>
  <c r="N64" i="4"/>
  <c r="O45" i="4"/>
  <c r="O47" i="4" s="1"/>
  <c r="C35" i="5"/>
  <c r="R5" i="4"/>
  <c r="T27" i="3"/>
  <c r="T44" i="3"/>
  <c r="T59" i="3"/>
  <c r="S42" i="3" l="1"/>
  <c r="Q42" i="4" s="1"/>
  <c r="Q45" i="4" s="1"/>
  <c r="Q47" i="4" s="1"/>
  <c r="Q48" i="4" s="1"/>
  <c r="P45" i="4"/>
  <c r="P47" i="4" s="1"/>
  <c r="N65" i="4"/>
  <c r="N71" i="4"/>
  <c r="U59" i="3"/>
  <c r="U44" i="3"/>
  <c r="U27" i="3"/>
  <c r="S5" i="4"/>
  <c r="T37" i="3"/>
  <c r="T38" i="3"/>
  <c r="T39" i="3"/>
  <c r="T41" i="3"/>
  <c r="T30" i="3"/>
  <c r="T31" i="3"/>
  <c r="T29" i="3"/>
  <c r="T33" i="3"/>
  <c r="T35" i="3"/>
  <c r="T34" i="3"/>
  <c r="T32" i="3"/>
  <c r="T40" i="3"/>
  <c r="T28" i="3"/>
  <c r="O53" i="4"/>
  <c r="O48" i="4"/>
  <c r="V7" i="3"/>
  <c r="U5" i="2"/>
  <c r="Q53" i="4" l="1"/>
  <c r="Q64" i="4" s="1"/>
  <c r="Q65" i="4" s="1"/>
  <c r="V5" i="2"/>
  <c r="W7" i="3"/>
  <c r="V59" i="3"/>
  <c r="V27" i="3"/>
  <c r="V44" i="3"/>
  <c r="T5" i="4"/>
  <c r="T42" i="3"/>
  <c r="R42" i="4" s="1"/>
  <c r="U38" i="3"/>
  <c r="U30" i="3"/>
  <c r="U37" i="3"/>
  <c r="U41" i="3"/>
  <c r="U35" i="3"/>
  <c r="U34" i="3"/>
  <c r="U31" i="3"/>
  <c r="U29" i="3"/>
  <c r="U39" i="3"/>
  <c r="U33" i="3"/>
  <c r="U32" i="3"/>
  <c r="U40" i="3"/>
  <c r="U28" i="3"/>
  <c r="P48" i="4"/>
  <c r="P53" i="4"/>
  <c r="Q71" i="4" l="1"/>
  <c r="P64" i="4"/>
  <c r="R45" i="4"/>
  <c r="R47" i="4" s="1"/>
  <c r="W59" i="3"/>
  <c r="W27" i="3"/>
  <c r="U5" i="4"/>
  <c r="W44" i="3"/>
  <c r="U42" i="3"/>
  <c r="S42" i="4" s="1"/>
  <c r="S45" i="4" s="1"/>
  <c r="S47" i="4" s="1"/>
  <c r="V41" i="3"/>
  <c r="V37" i="3"/>
  <c r="V33" i="3"/>
  <c r="V35" i="3"/>
  <c r="V38" i="3"/>
  <c r="V31" i="3"/>
  <c r="V29" i="3"/>
  <c r="V40" i="3"/>
  <c r="V32" i="3"/>
  <c r="V28" i="3"/>
  <c r="V39" i="3"/>
  <c r="V30" i="3"/>
  <c r="V34" i="3"/>
  <c r="X7" i="3"/>
  <c r="W5" i="2"/>
  <c r="S53" i="4" l="1"/>
  <c r="S64" i="4" s="1"/>
  <c r="S48" i="4"/>
  <c r="R48" i="4"/>
  <c r="R53" i="4"/>
  <c r="X5" i="2"/>
  <c r="Y7" i="3"/>
  <c r="W40" i="3"/>
  <c r="W30" i="3"/>
  <c r="W33" i="3"/>
  <c r="W28" i="3"/>
  <c r="W35" i="3"/>
  <c r="W38" i="3"/>
  <c r="W32" i="3"/>
  <c r="W31" i="3"/>
  <c r="W29" i="3"/>
  <c r="W41" i="3"/>
  <c r="W34" i="3"/>
  <c r="W37" i="3"/>
  <c r="W39" i="3"/>
  <c r="V42" i="3"/>
  <c r="T42" i="4" s="1"/>
  <c r="T45" i="4" s="1"/>
  <c r="T47" i="4" s="1"/>
  <c r="P65" i="4"/>
  <c r="P71" i="4"/>
  <c r="X27" i="3"/>
  <c r="V5" i="4"/>
  <c r="X44" i="3"/>
  <c r="X59" i="3"/>
  <c r="X35" i="3" l="1"/>
  <c r="X38" i="3"/>
  <c r="X39" i="3"/>
  <c r="X37" i="3"/>
  <c r="X33" i="3"/>
  <c r="X30" i="3"/>
  <c r="X40" i="3"/>
  <c r="X41" i="3"/>
  <c r="X32" i="3"/>
  <c r="X31" i="3"/>
  <c r="X29" i="3"/>
  <c r="X28" i="3"/>
  <c r="X34" i="3"/>
  <c r="Y5" i="2"/>
  <c r="Z7" i="3"/>
  <c r="W5" i="4"/>
  <c r="Y59" i="3"/>
  <c r="Y27" i="3"/>
  <c r="Y44" i="3"/>
  <c r="R64" i="4"/>
  <c r="S71" i="4"/>
  <c r="S65" i="4"/>
  <c r="W42" i="3"/>
  <c r="U42" i="4" s="1"/>
  <c r="T53" i="4"/>
  <c r="T64" i="4" s="1"/>
  <c r="T48" i="4"/>
  <c r="X5" i="4" l="1"/>
  <c r="Z44" i="3"/>
  <c r="Z27" i="3"/>
  <c r="Z59" i="3"/>
  <c r="AA7" i="3"/>
  <c r="Z5" i="2"/>
  <c r="X42" i="3"/>
  <c r="V42" i="4" s="1"/>
  <c r="V45" i="4" s="1"/>
  <c r="V47" i="4" s="1"/>
  <c r="U45" i="4"/>
  <c r="U47" i="4" s="1"/>
  <c r="Y34" i="3"/>
  <c r="Y39" i="3"/>
  <c r="Y33" i="3"/>
  <c r="Y35" i="3"/>
  <c r="Y41" i="3"/>
  <c r="Y38" i="3"/>
  <c r="Y30" i="3"/>
  <c r="Y32" i="3"/>
  <c r="Y40" i="3"/>
  <c r="Y28" i="3"/>
  <c r="Y29" i="3"/>
  <c r="Y31" i="3"/>
  <c r="Y37" i="3"/>
  <c r="T65" i="4"/>
  <c r="T71" i="4"/>
  <c r="R65" i="4"/>
  <c r="R71" i="4"/>
  <c r="U48" i="4" l="1"/>
  <c r="U53" i="4"/>
  <c r="V53" i="4"/>
  <c r="V64" i="4" s="1"/>
  <c r="V48" i="4"/>
  <c r="Z29" i="3"/>
  <c r="Z38" i="3"/>
  <c r="Z40" i="3"/>
  <c r="Z35" i="3"/>
  <c r="Z41" i="3"/>
  <c r="Z30" i="3"/>
  <c r="Z32" i="3"/>
  <c r="Z28" i="3"/>
  <c r="Z34" i="3"/>
  <c r="Z33" i="3"/>
  <c r="Z37" i="3"/>
  <c r="Z31" i="3"/>
  <c r="Z39" i="3"/>
  <c r="AB7" i="3"/>
  <c r="AA5" i="2"/>
  <c r="Y42" i="3"/>
  <c r="W42" i="4" s="1"/>
  <c r="Y5" i="4"/>
  <c r="AA59" i="3"/>
  <c r="AA44" i="3"/>
  <c r="AA27" i="3"/>
  <c r="W45" i="4" l="1"/>
  <c r="W47" i="4" s="1"/>
  <c r="U64" i="4"/>
  <c r="AA40" i="3"/>
  <c r="AA32" i="3"/>
  <c r="AA34" i="3"/>
  <c r="AA39" i="3"/>
  <c r="AA35" i="3"/>
  <c r="AA41" i="3"/>
  <c r="AA30" i="3"/>
  <c r="AA28" i="3"/>
  <c r="AA37" i="3"/>
  <c r="AA33" i="3"/>
  <c r="AA38" i="3"/>
  <c r="AA29" i="3"/>
  <c r="AA31" i="3"/>
  <c r="AC7" i="3"/>
  <c r="AB5" i="2"/>
  <c r="Z5" i="4"/>
  <c r="AB59" i="3"/>
  <c r="AB44" i="3"/>
  <c r="AB27" i="3"/>
  <c r="Z42" i="3"/>
  <c r="X42" i="4" s="1"/>
  <c r="X45" i="4" s="1"/>
  <c r="X47" i="4" s="1"/>
  <c r="V71" i="4"/>
  <c r="V65" i="4"/>
  <c r="AD7" i="3" l="1"/>
  <c r="AC5" i="2"/>
  <c r="X48" i="4"/>
  <c r="X53" i="4"/>
  <c r="X64" i="4" s="1"/>
  <c r="U65" i="4"/>
  <c r="U71" i="4"/>
  <c r="AA42" i="3"/>
  <c r="Y42" i="4" s="1"/>
  <c r="Y45" i="4" s="1"/>
  <c r="Y47" i="4" s="1"/>
  <c r="AB39" i="3"/>
  <c r="AB35" i="3"/>
  <c r="AB29" i="3"/>
  <c r="AB33" i="3"/>
  <c r="AB31" i="3"/>
  <c r="AB30" i="3"/>
  <c r="AB41" i="3"/>
  <c r="AB28" i="3"/>
  <c r="AB37" i="3"/>
  <c r="AB34" i="3"/>
  <c r="AB38" i="3"/>
  <c r="AB32" i="3"/>
  <c r="AB40" i="3"/>
  <c r="AA5" i="4"/>
  <c r="AC44" i="3"/>
  <c r="AC59" i="3"/>
  <c r="AC27" i="3"/>
  <c r="W53" i="4"/>
  <c r="W48" i="4"/>
  <c r="AB42" i="3" l="1"/>
  <c r="Z42" i="4" s="1"/>
  <c r="Z45" i="4" s="1"/>
  <c r="Z47" i="4" s="1"/>
  <c r="AC31" i="3"/>
  <c r="AC30" i="3"/>
  <c r="AC40" i="3"/>
  <c r="AC28" i="3"/>
  <c r="AC41" i="3"/>
  <c r="AC35" i="3"/>
  <c r="AC38" i="3"/>
  <c r="AC32" i="3"/>
  <c r="AC37" i="3"/>
  <c r="AC34" i="3"/>
  <c r="AC29" i="3"/>
  <c r="AC39" i="3"/>
  <c r="AC33" i="3"/>
  <c r="W64" i="4"/>
  <c r="AD5" i="2"/>
  <c r="AE7" i="3"/>
  <c r="Y48" i="4"/>
  <c r="Y53" i="4"/>
  <c r="Y64" i="4" s="1"/>
  <c r="X65" i="4"/>
  <c r="X71" i="4"/>
  <c r="AB5" i="4"/>
  <c r="AD44" i="3"/>
  <c r="AD27" i="3"/>
  <c r="AD59" i="3"/>
  <c r="Y65" i="4" l="1"/>
  <c r="Y71" i="4"/>
  <c r="AE59" i="3"/>
  <c r="AE27" i="3"/>
  <c r="AC5" i="4"/>
  <c r="AE44" i="3"/>
  <c r="W71" i="4"/>
  <c r="W65" i="4"/>
  <c r="AD33" i="3"/>
  <c r="AD41" i="3"/>
  <c r="AD40" i="3"/>
  <c r="AD28" i="3"/>
  <c r="AD32" i="3"/>
  <c r="AD29" i="3"/>
  <c r="AD39" i="3"/>
  <c r="AD38" i="3"/>
  <c r="AD34" i="3"/>
  <c r="AD30" i="3"/>
  <c r="AD37" i="3"/>
  <c r="AD35" i="3"/>
  <c r="AD31" i="3"/>
  <c r="AF7" i="3"/>
  <c r="AE5" i="2"/>
  <c r="AC42" i="3"/>
  <c r="AA42" i="4" s="1"/>
  <c r="Z48" i="4"/>
  <c r="Z53" i="4"/>
  <c r="Z64" i="4" s="1"/>
  <c r="AF5" i="2" l="1"/>
  <c r="AG7" i="3"/>
  <c r="AA45" i="4"/>
  <c r="AA47" i="4" s="1"/>
  <c r="D35" i="5"/>
  <c r="AD42" i="3"/>
  <c r="AB42" i="4" s="1"/>
  <c r="Z71" i="4"/>
  <c r="Z65" i="4"/>
  <c r="AD5" i="4"/>
  <c r="AF59" i="3"/>
  <c r="AF44" i="3"/>
  <c r="AF27" i="3"/>
  <c r="AE32" i="3"/>
  <c r="AE28" i="3"/>
  <c r="AE31" i="3"/>
  <c r="AE30" i="3"/>
  <c r="AE29" i="3"/>
  <c r="AE40" i="3"/>
  <c r="AE37" i="3"/>
  <c r="AE34" i="3"/>
  <c r="AE35" i="3"/>
  <c r="AE41" i="3"/>
  <c r="AE38" i="3"/>
  <c r="AE33" i="3"/>
  <c r="AE39" i="3"/>
  <c r="AE42" i="3" l="1"/>
  <c r="AC42" i="4" s="1"/>
  <c r="AC45" i="4" s="1"/>
  <c r="AC47" i="4" s="1"/>
  <c r="AC48" i="4" s="1"/>
  <c r="AF39" i="3"/>
  <c r="AF31" i="3"/>
  <c r="AF41" i="3"/>
  <c r="AF40" i="3"/>
  <c r="AF32" i="3"/>
  <c r="AF30" i="3"/>
  <c r="AF28" i="3"/>
  <c r="AF37" i="3"/>
  <c r="AF34" i="3"/>
  <c r="AF38" i="3"/>
  <c r="AF29" i="3"/>
  <c r="AF33" i="3"/>
  <c r="AF35" i="3"/>
  <c r="AG59" i="3"/>
  <c r="AG27" i="3"/>
  <c r="AE5" i="4"/>
  <c r="AG44" i="3"/>
  <c r="AB45" i="4"/>
  <c r="AB47" i="4" s="1"/>
  <c r="AA48" i="4"/>
  <c r="AA53" i="4"/>
  <c r="AH7" i="3"/>
  <c r="AG5" i="2"/>
  <c r="AC53" i="4" l="1"/>
  <c r="AC64" i="4" s="1"/>
  <c r="AC71" i="4" s="1"/>
  <c r="AI7" i="3"/>
  <c r="AH5" i="2"/>
  <c r="AF42" i="3"/>
  <c r="AD42" i="4" s="1"/>
  <c r="AH59" i="3"/>
  <c r="AH44" i="3"/>
  <c r="AH27" i="3"/>
  <c r="AF5" i="4"/>
  <c r="AA62" i="4"/>
  <c r="D50" i="5" s="1"/>
  <c r="D49" i="5"/>
  <c r="AB53" i="4"/>
  <c r="AB48" i="4"/>
  <c r="AG38" i="3"/>
  <c r="AG34" i="3"/>
  <c r="AG32" i="3"/>
  <c r="AG28" i="3"/>
  <c r="AG40" i="3"/>
  <c r="AG29" i="3"/>
  <c r="AG33" i="3"/>
  <c r="AG30" i="3"/>
  <c r="AG39" i="3"/>
  <c r="AG37" i="3"/>
  <c r="AG31" i="3"/>
  <c r="AG41" i="3"/>
  <c r="AG35" i="3"/>
  <c r="AC65" i="4" l="1"/>
  <c r="AB64" i="4"/>
  <c r="AH41" i="3"/>
  <c r="AH39" i="3"/>
  <c r="AH38" i="3"/>
  <c r="AH31" i="3"/>
  <c r="AH28" i="3"/>
  <c r="AH33" i="3"/>
  <c r="AH30" i="3"/>
  <c r="AH37" i="3"/>
  <c r="AH32" i="3"/>
  <c r="AH40" i="3"/>
  <c r="AH34" i="3"/>
  <c r="AH29" i="3"/>
  <c r="AH35" i="3"/>
  <c r="AD45" i="4"/>
  <c r="AD47" i="4" s="1"/>
  <c r="D52" i="5"/>
  <c r="D53" i="5" s="1"/>
  <c r="AA64" i="4"/>
  <c r="AJ7" i="3"/>
  <c r="AI5" i="2"/>
  <c r="AG42" i="3"/>
  <c r="AE42" i="4" s="1"/>
  <c r="AE45" i="4" s="1"/>
  <c r="AE47" i="4" s="1"/>
  <c r="AI59" i="3"/>
  <c r="AG5" i="4"/>
  <c r="AI44" i="3"/>
  <c r="AI27" i="3"/>
  <c r="AI41" i="3" l="1"/>
  <c r="AI40" i="3"/>
  <c r="AI37" i="3"/>
  <c r="AI32" i="3"/>
  <c r="AI35" i="3"/>
  <c r="AI34" i="3"/>
  <c r="AI31" i="3"/>
  <c r="AI29" i="3"/>
  <c r="AI28" i="3"/>
  <c r="AI39" i="3"/>
  <c r="AI30" i="3"/>
  <c r="AI33" i="3"/>
  <c r="AI38" i="3"/>
  <c r="AE53" i="4"/>
  <c r="AE64" i="4" s="1"/>
  <c r="AE48" i="4"/>
  <c r="AA65" i="4"/>
  <c r="AA71" i="4"/>
  <c r="AH42" i="3"/>
  <c r="AF42" i="4" s="1"/>
  <c r="AF45" i="4" s="1"/>
  <c r="AF47" i="4" s="1"/>
  <c r="AB71" i="4"/>
  <c r="AB65" i="4"/>
  <c r="AD48" i="4"/>
  <c r="AD53" i="4"/>
  <c r="AJ5" i="2"/>
  <c r="AK7" i="3"/>
  <c r="AJ44" i="3"/>
  <c r="AJ27" i="3"/>
  <c r="AH5" i="4"/>
  <c r="AJ59" i="3"/>
  <c r="AK59" i="3" l="1"/>
  <c r="AI5" i="4"/>
  <c r="AK27" i="3"/>
  <c r="AK44" i="3"/>
  <c r="AJ39" i="3"/>
  <c r="AJ38" i="3"/>
  <c r="AJ31" i="3"/>
  <c r="AJ33" i="3"/>
  <c r="AJ35" i="3"/>
  <c r="AJ34" i="3"/>
  <c r="AJ37" i="3"/>
  <c r="AJ40" i="3"/>
  <c r="AJ28" i="3"/>
  <c r="AJ32" i="3"/>
  <c r="AJ30" i="3"/>
  <c r="AJ29" i="3"/>
  <c r="AJ41" i="3"/>
  <c r="AL7" i="3"/>
  <c r="AK5" i="2"/>
  <c r="AE65" i="4"/>
  <c r="AE71" i="4"/>
  <c r="AI42" i="3"/>
  <c r="AG42" i="4" s="1"/>
  <c r="AD64" i="4"/>
  <c r="AF48" i="4"/>
  <c r="AF53" i="4"/>
  <c r="AF64" i="4" s="1"/>
  <c r="D59" i="5"/>
  <c r="AJ42" i="3" l="1"/>
  <c r="AH42" i="4" s="1"/>
  <c r="AH45" i="4" s="1"/>
  <c r="AH47" i="4" s="1"/>
  <c r="AG45" i="4"/>
  <c r="AG47" i="4" s="1"/>
  <c r="AK38" i="3"/>
  <c r="AK37" i="3"/>
  <c r="AK30" i="3"/>
  <c r="AK41" i="3"/>
  <c r="AK32" i="3"/>
  <c r="AK28" i="3"/>
  <c r="AK31" i="3"/>
  <c r="AK40" i="3"/>
  <c r="AK34" i="3"/>
  <c r="AK33" i="3"/>
  <c r="AK29" i="3"/>
  <c r="AK39" i="3"/>
  <c r="AK35" i="3"/>
  <c r="AL59" i="3"/>
  <c r="AL44" i="3"/>
  <c r="AL27" i="3"/>
  <c r="AJ5" i="4"/>
  <c r="AF71" i="4"/>
  <c r="AF65" i="4"/>
  <c r="AD65" i="4"/>
  <c r="AD71" i="4"/>
  <c r="AL5" i="2"/>
  <c r="AM7" i="3"/>
  <c r="AM59" i="3" l="1"/>
  <c r="AK5" i="4"/>
  <c r="AM44" i="3"/>
  <c r="AM27" i="3"/>
  <c r="AL41" i="3"/>
  <c r="AL37" i="3"/>
  <c r="AL33" i="3"/>
  <c r="AL35" i="3"/>
  <c r="AL34" i="3"/>
  <c r="AL32" i="3"/>
  <c r="AL40" i="3"/>
  <c r="AL39" i="3"/>
  <c r="AL29" i="3"/>
  <c r="AL31" i="3"/>
  <c r="AL28" i="3"/>
  <c r="AL38" i="3"/>
  <c r="AL30" i="3"/>
  <c r="AK42" i="3"/>
  <c r="AI42" i="4" s="1"/>
  <c r="AG53" i="4"/>
  <c r="AG48" i="4"/>
  <c r="AN7" i="3"/>
  <c r="AM5" i="2"/>
  <c r="AO7" i="3" s="1"/>
  <c r="AH48" i="4"/>
  <c r="AH53" i="4"/>
  <c r="AH64" i="4" s="1"/>
  <c r="AH65" i="4" l="1"/>
  <c r="AH71" i="4"/>
  <c r="AM5" i="4"/>
  <c r="AO44" i="3"/>
  <c r="AO59" i="3"/>
  <c r="AO27" i="3"/>
  <c r="AI45" i="4"/>
  <c r="AI47" i="4" s="1"/>
  <c r="AN59" i="3"/>
  <c r="AN27" i="3"/>
  <c r="AN44" i="3"/>
  <c r="AL5" i="4"/>
  <c r="AG64" i="4"/>
  <c r="AM40" i="3"/>
  <c r="AM30" i="3"/>
  <c r="AM35" i="3"/>
  <c r="AM41" i="3"/>
  <c r="AM37" i="3"/>
  <c r="AM33" i="3"/>
  <c r="AM34" i="3"/>
  <c r="AM31" i="3"/>
  <c r="AM39" i="3"/>
  <c r="AM29" i="3"/>
  <c r="AM28" i="3"/>
  <c r="AM32" i="3"/>
  <c r="AM38" i="3"/>
  <c r="AL42" i="3"/>
  <c r="AJ42" i="4" s="1"/>
  <c r="AJ45" i="4" s="1"/>
  <c r="AJ47" i="4" s="1"/>
  <c r="AN34" i="3" l="1"/>
  <c r="AN40" i="3"/>
  <c r="AN37" i="3"/>
  <c r="AN33" i="3"/>
  <c r="AN39" i="3"/>
  <c r="AN29" i="3"/>
  <c r="AN31" i="3"/>
  <c r="AN35" i="3"/>
  <c r="AN32" i="3"/>
  <c r="AN28" i="3"/>
  <c r="AN41" i="3"/>
  <c r="AN38" i="3"/>
  <c r="AN30" i="3"/>
  <c r="AG71" i="4"/>
  <c r="AG65" i="4"/>
  <c r="AI53" i="4"/>
  <c r="AI48" i="4"/>
  <c r="AM42" i="3"/>
  <c r="AK42" i="4" s="1"/>
  <c r="AK45" i="4" s="1"/>
  <c r="AK47" i="4" s="1"/>
  <c r="AO35" i="3"/>
  <c r="AO41" i="3"/>
  <c r="AO37" i="3"/>
  <c r="AO38" i="3"/>
  <c r="AO34" i="3"/>
  <c r="AO29" i="3"/>
  <c r="AO39" i="3"/>
  <c r="AO31" i="3"/>
  <c r="AO40" i="3"/>
  <c r="AO33" i="3"/>
  <c r="AO28" i="3"/>
  <c r="AO30" i="3"/>
  <c r="AO32" i="3"/>
  <c r="AJ53" i="4"/>
  <c r="AJ64" i="4" s="1"/>
  <c r="AJ48" i="4"/>
  <c r="AO42" i="3" l="1"/>
  <c r="AM42" i="4" s="1"/>
  <c r="AJ65" i="4"/>
  <c r="AJ71" i="4"/>
  <c r="AI64" i="4"/>
  <c r="AN42" i="3"/>
  <c r="AL42" i="4" s="1"/>
  <c r="AL45" i="4" s="1"/>
  <c r="AL47" i="4" s="1"/>
  <c r="AK48" i="4"/>
  <c r="AK53" i="4"/>
  <c r="AK64" i="4" s="1"/>
  <c r="AK71" i="4" l="1"/>
  <c r="AK65" i="4"/>
  <c r="AI71" i="4"/>
  <c r="AI65" i="4"/>
  <c r="AL53" i="4"/>
  <c r="AL64" i="4" s="1"/>
  <c r="AL48" i="4"/>
  <c r="AM45" i="4"/>
  <c r="AM47" i="4" s="1"/>
  <c r="E35" i="5"/>
  <c r="F35" i="5" s="1"/>
  <c r="AM48" i="4" l="1"/>
  <c r="AM53" i="4"/>
  <c r="AL71" i="4"/>
  <c r="AL65" i="4"/>
  <c r="AM62" i="4" l="1"/>
  <c r="E50" i="5" s="1"/>
  <c r="E49" i="5"/>
  <c r="AM64" i="4" l="1"/>
  <c r="E52" i="5"/>
  <c r="E53" i="5" s="1"/>
  <c r="AM71" i="4" l="1"/>
  <c r="AM65" i="4"/>
  <c r="E59" i="5" l="1"/>
  <c r="F66" i="3"/>
  <c r="D44" i="4"/>
  <c r="C37" i="5" s="1"/>
  <c r="F37" i="5" s="1"/>
  <c r="D45" i="4" l="1"/>
  <c r="D47" i="4" s="1"/>
  <c r="D48" i="4" l="1"/>
  <c r="D53" i="4"/>
  <c r="C49" i="5" l="1"/>
  <c r="O62" i="4"/>
  <c r="D64" i="4"/>
  <c r="D65" i="4" l="1"/>
  <c r="D71" i="4"/>
  <c r="C50" i="5"/>
  <c r="F50" i="5" s="1"/>
  <c r="O64" i="4"/>
  <c r="F49" i="5"/>
  <c r="C52" i="5"/>
  <c r="C53" i="5" s="1"/>
  <c r="F52" i="5" l="1"/>
  <c r="F53" i="5" s="1"/>
  <c r="O71" i="4"/>
  <c r="O65" i="4"/>
  <c r="C59" i="5"/>
  <c r="D76" i="4"/>
  <c r="E69" i="4" s="1"/>
  <c r="E76" i="4" s="1"/>
  <c r="F69" i="4" s="1"/>
  <c r="F76" i="4" s="1"/>
  <c r="G69" i="4" s="1"/>
  <c r="G76" i="4" s="1"/>
  <c r="H69" i="4" s="1"/>
  <c r="H76" i="4" s="1"/>
  <c r="I69" i="4" s="1"/>
  <c r="I76" i="4" s="1"/>
  <c r="J69" i="4" s="1"/>
  <c r="J76" i="4" s="1"/>
  <c r="K69" i="4" s="1"/>
  <c r="K76" i="4" s="1"/>
  <c r="L69" i="4" s="1"/>
  <c r="L76" i="4" s="1"/>
  <c r="M69" i="4" s="1"/>
  <c r="M76" i="4" s="1"/>
  <c r="N69" i="4" s="1"/>
  <c r="N76" i="4" s="1"/>
  <c r="O69" i="4" s="1"/>
  <c r="O76" i="4" s="1"/>
  <c r="P69" i="4" s="1"/>
  <c r="P76" i="4" s="1"/>
  <c r="Q69" i="4" s="1"/>
  <c r="Q76" i="4" s="1"/>
  <c r="R69" i="4" s="1"/>
  <c r="R76" i="4" s="1"/>
  <c r="S69" i="4" s="1"/>
  <c r="S76" i="4" s="1"/>
  <c r="T69" i="4" s="1"/>
  <c r="T76" i="4" s="1"/>
  <c r="U69" i="4" s="1"/>
  <c r="U76" i="4" s="1"/>
  <c r="V69" i="4" s="1"/>
  <c r="V76" i="4" s="1"/>
  <c r="W69" i="4" s="1"/>
  <c r="W76" i="4" s="1"/>
  <c r="X69" i="4" s="1"/>
  <c r="X76" i="4" s="1"/>
  <c r="Y69" i="4" s="1"/>
  <c r="Y76" i="4" s="1"/>
  <c r="Z69" i="4" s="1"/>
  <c r="Z76" i="4" s="1"/>
  <c r="AA69" i="4" s="1"/>
  <c r="AA76" i="4" s="1"/>
  <c r="AB69" i="4" s="1"/>
  <c r="AB76" i="4" s="1"/>
  <c r="AC69" i="4" s="1"/>
  <c r="AC76" i="4" s="1"/>
  <c r="AD69" i="4" s="1"/>
  <c r="AD76" i="4" s="1"/>
  <c r="AE69" i="4" s="1"/>
  <c r="AE76" i="4" s="1"/>
  <c r="AF69" i="4" s="1"/>
  <c r="AF76" i="4" s="1"/>
  <c r="AG69" i="4" s="1"/>
  <c r="AG76" i="4" s="1"/>
  <c r="AH69" i="4" s="1"/>
  <c r="AH76" i="4" s="1"/>
  <c r="AI69" i="4" s="1"/>
  <c r="AI76" i="4" s="1"/>
  <c r="AJ69" i="4" s="1"/>
  <c r="AJ76" i="4" s="1"/>
  <c r="AK69" i="4" s="1"/>
  <c r="AK76" i="4" s="1"/>
  <c r="AL69" i="4" s="1"/>
  <c r="AL76" i="4" s="1"/>
  <c r="AM69" i="4" s="1"/>
  <c r="AM76" i="4" s="1"/>
  <c r="F59" i="5" l="1"/>
  <c r="C64" i="5"/>
  <c r="D57" i="5" s="1"/>
  <c r="D64" i="5" s="1"/>
  <c r="E57" i="5" s="1"/>
  <c r="E64" i="5" s="1"/>
  <c r="F57" i="5" s="1"/>
  <c r="F64" i="5" l="1"/>
</calcChain>
</file>

<file path=xl/sharedStrings.xml><?xml version="1.0" encoding="utf-8"?>
<sst xmlns="http://schemas.openxmlformats.org/spreadsheetml/2006/main" count="308" uniqueCount="139">
  <si>
    <t>Financial Model</t>
  </si>
  <si>
    <t>Variables</t>
  </si>
  <si>
    <t>PRODUCTS</t>
  </si>
  <si>
    <t xml:space="preserve">REVENUE </t>
  </si>
  <si>
    <t>Cost of Goods Sold (COGS)</t>
  </si>
  <si>
    <t>Product/ Service/ Revenue Stream Names</t>
  </si>
  <si>
    <t>Price/ Revenue per user (average selling price - ASP)</t>
  </si>
  <si>
    <t>Paymemt transaction fees (1.5%)</t>
  </si>
  <si>
    <t>Contract trainers</t>
  </si>
  <si>
    <t>Manufacturing costs</t>
  </si>
  <si>
    <t>Cloud / hosting costs (AWS/ Google Cloud)</t>
  </si>
  <si>
    <t>{COGS}</t>
  </si>
  <si>
    <t>Total COGS</t>
  </si>
  <si>
    <t>Gross Profit</t>
  </si>
  <si>
    <t>Gross Margin</t>
  </si>
  <si>
    <t>Product 2</t>
  </si>
  <si>
    <t>Product 3</t>
  </si>
  <si>
    <t>Product 4</t>
  </si>
  <si>
    <t>Product 5</t>
  </si>
  <si>
    <t>Product 6</t>
  </si>
  <si>
    <t>OPENING FIGURES</t>
  </si>
  <si>
    <t>Opening month</t>
  </si>
  <si>
    <t>Opening cash balance</t>
  </si>
  <si>
    <t>SCENARIOS</t>
  </si>
  <si>
    <t>Change</t>
  </si>
  <si>
    <t>Revenues</t>
  </si>
  <si>
    <t>Direct Costs (COGS)</t>
  </si>
  <si>
    <t>Indirect Costs (OpEx)</t>
  </si>
  <si>
    <t>Budget P&amp;L + Cashflow</t>
  </si>
  <si>
    <t>Product --&gt;</t>
  </si>
  <si>
    <t>Launch 2 pilots</t>
  </si>
  <si>
    <t>Launch 'Silver' product</t>
  </si>
  <si>
    <t>Launching 'Gold' product'</t>
  </si>
  <si>
    <t>ASSUMPTIONS --&gt;&gt;</t>
  </si>
  <si>
    <t>Marketing --&gt;</t>
  </si>
  <si>
    <t>Run B2B marketing campaign</t>
  </si>
  <si>
    <t>Investment --&gt;</t>
  </si>
  <si>
    <t>UNITS SOLD</t>
  </si>
  <si>
    <t>TOTAL UNITS</t>
  </si>
  <si>
    <t>INCOME</t>
  </si>
  <si>
    <t>Unit price/ Revenue per User</t>
  </si>
  <si>
    <t>TOTAL INCOME</t>
  </si>
  <si>
    <t>INVESTMENT &amp; GRANTS</t>
  </si>
  <si>
    <t>Equity</t>
  </si>
  <si>
    <t>Loans/ Debt</t>
  </si>
  <si>
    <t>Grants</t>
  </si>
  <si>
    <t>Fixed Costs</t>
  </si>
  <si>
    <t>General &amp; Administrative Costs</t>
  </si>
  <si>
    <t>Office Rent</t>
  </si>
  <si>
    <t>-</t>
  </si>
  <si>
    <t>Utilities</t>
  </si>
  <si>
    <t>Cleaning &amp; Security</t>
  </si>
  <si>
    <t>Food &amp; Catering (per employee)</t>
  </si>
  <si>
    <t>Stationary &amp; Printing (per employee)</t>
  </si>
  <si>
    <t>Audit &amp; Accountancy fees</t>
  </si>
  <si>
    <t>Legal</t>
  </si>
  <si>
    <t>Phone &amp; telephony</t>
  </si>
  <si>
    <t>HR &amp; Training (per employee)</t>
  </si>
  <si>
    <t>Recruitment</t>
  </si>
  <si>
    <t>Website Costs</t>
  </si>
  <si>
    <t>Employee liability insurance (per employee)</t>
  </si>
  <si>
    <t>Software and email licenses (per employee)</t>
  </si>
  <si>
    <t>Internet Infrastructure (base rate)</t>
  </si>
  <si>
    <t>Other software</t>
  </si>
  <si>
    <t>{Other cost}</t>
  </si>
  <si>
    <t>Total General &amp; Adminstrative Costs</t>
  </si>
  <si>
    <t>Staff Costs</t>
  </si>
  <si>
    <t>Base Salary (monthly)</t>
  </si>
  <si>
    <t>Employment Start date</t>
  </si>
  <si>
    <t>Pension (legal minimum 3%)</t>
  </si>
  <si>
    <t>National Insurance</t>
  </si>
  <si>
    <t>CEO</t>
  </si>
  <si>
    <t>Head of Marketing</t>
  </si>
  <si>
    <t>Ops manager</t>
  </si>
  <si>
    <t>{Staff member}</t>
  </si>
  <si>
    <t>Software Developer</t>
  </si>
  <si>
    <t>Contractor</t>
  </si>
  <si>
    <t>Total Staff Expenses</t>
  </si>
  <si>
    <t>Marketing Expenses</t>
  </si>
  <si>
    <t>Advertising</t>
  </si>
  <si>
    <t>SEO</t>
  </si>
  <si>
    <t>Paid Ads</t>
  </si>
  <si>
    <t>PR</t>
  </si>
  <si>
    <t>Pop up stall</t>
  </si>
  <si>
    <t>Print marketing</t>
  </si>
  <si>
    <t>Video Content</t>
  </si>
  <si>
    <t>Travel - Marketing</t>
  </si>
  <si>
    <t>Total Marketing Expenses</t>
  </si>
  <si>
    <t>Other Central Expenses</t>
  </si>
  <si>
    <t>New Product Development, Prototypes</t>
  </si>
  <si>
    <t>Other Operating Expenses</t>
  </si>
  <si>
    <t>Staff Travel &amp; Expenses</t>
  </si>
  <si>
    <t>Total Central Expenses</t>
  </si>
  <si>
    <t>Less Cost of Sales</t>
  </si>
  <si>
    <t>COGS</t>
  </si>
  <si>
    <t>TOTAL COST OF SALES</t>
  </si>
  <si>
    <t>GROSS PROFIT</t>
  </si>
  <si>
    <t>Gross Margin %</t>
  </si>
  <si>
    <t>Operating Expenses</t>
  </si>
  <si>
    <t>TOTAL OPERATING EXPENSES</t>
  </si>
  <si>
    <t>EBITDA (Earnings before Interest, Tax, Depreciation &amp; Amortization)</t>
  </si>
  <si>
    <t>EBITDA margin</t>
  </si>
  <si>
    <t>Financing &amp; Investment</t>
  </si>
  <si>
    <t>Equity investment</t>
  </si>
  <si>
    <t>Debt</t>
  </si>
  <si>
    <t>Pre-tax profit</t>
  </si>
  <si>
    <t>Non-operating Income</t>
  </si>
  <si>
    <t>Grant revenue</t>
  </si>
  <si>
    <t>Interest Income</t>
  </si>
  <si>
    <t>Non-operating Expenses</t>
  </si>
  <si>
    <t>Depreciation</t>
  </si>
  <si>
    <t>Interest Paid</t>
  </si>
  <si>
    <t>VAT</t>
  </si>
  <si>
    <t>Corporation Tax</t>
  </si>
  <si>
    <t>NET PROFIT AFTER TAX</t>
  </si>
  <si>
    <t>Net Profit Margin</t>
  </si>
  <si>
    <t xml:space="preserve">Cash Flow </t>
  </si>
  <si>
    <t>Net profit</t>
  </si>
  <si>
    <t>Incoming investment</t>
  </si>
  <si>
    <t>Incoming loans</t>
  </si>
  <si>
    <t>Loan repayments</t>
  </si>
  <si>
    <t>Closing cash balance</t>
  </si>
  <si>
    <t>FY 1</t>
  </si>
  <si>
    <t>FY 2</t>
  </si>
  <si>
    <t>FY 3</t>
  </si>
  <si>
    <t>Total FY 1-3</t>
  </si>
  <si>
    <t>Sales (units)</t>
  </si>
  <si>
    <t>TOTAL</t>
  </si>
  <si>
    <t>Av. Unit price</t>
  </si>
  <si>
    <t>Revenue</t>
  </si>
  <si>
    <t>As % of Income</t>
  </si>
  <si>
    <t>EBITDA</t>
  </si>
  <si>
    <t xml:space="preserve">Pre-tax profit </t>
  </si>
  <si>
    <t>Isotretinoin Monitoring App - Annual Provider Subscription</t>
    <phoneticPr fontId="29" type="noConversion"/>
  </si>
  <si>
    <t>Other Marketing Expenses</t>
    <phoneticPr fontId="29" type="noConversion"/>
  </si>
  <si>
    <t>CRM and sales tools</t>
    <phoneticPr fontId="29" type="noConversion"/>
  </si>
  <si>
    <t xml:space="preserve"> Clinical stakeholder workshops</t>
  </si>
  <si>
    <t>Clinical advisor / safety review</t>
  </si>
  <si>
    <t xml:space="preserve"> Professional indemnity + cyber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</si>
</sst>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-[$£-809]* #,##0.00_-;\-[$£-809]* #,##0.00_-;_-[$£-809]* &quot;-&quot;??_-;_-@"/>
    <numFmt numFmtId="177" formatCode="_(&quot;£&quot;* #,##0.00_);_(&quot;£&quot;* \(#,##0.00\);_(&quot;£&quot;* &quot;-&quot;??_);_(@_)"/>
    <numFmt numFmtId="178" formatCode="d&quot;-&quot;mmm&quot;-&quot;yyyy"/>
    <numFmt numFmtId="179" formatCode="&quot;£&quot;#,##0;[Red]\-&quot;£&quot;#,##0"/>
    <numFmt numFmtId="180" formatCode="[$£-809]#,##0.00;\-[$£-809]#,##0.00"/>
    <numFmt numFmtId="181" formatCode="_-&quot;£&quot;* #,##0_-;\-&quot;£&quot;* #,##0_-;_-&quot;£&quot;* &quot;-&quot;??_-;_-@"/>
    <numFmt numFmtId="182" formatCode="&quot;£&quot;#,##0"/>
    <numFmt numFmtId="183" formatCode="0.0%"/>
    <numFmt numFmtId="184" formatCode="&quot;£&quot;#,##0;[Red]&quot;£&quot;#,##0"/>
    <numFmt numFmtId="185" formatCode="[$£-809]#,##0;\-[$£-809]#,##0"/>
    <numFmt numFmtId="186" formatCode="_-* #,##0_-;\-* #,##0_-;_-* &quot;-&quot;??_-;_-@"/>
    <numFmt numFmtId="187" formatCode="&quot;£&quot;#,##0.00;[Red]\-&quot;£&quot;#,##0.00"/>
  </numFmts>
  <fonts count="32">
    <font>
      <sz val="12"/>
      <color theme="1"/>
      <name val="Calibri"/>
      <scheme val="minor"/>
    </font>
    <font>
      <b/>
      <sz val="16"/>
      <color theme="1"/>
      <name val="Kingsbureaugrot-threeseven"/>
    </font>
    <font>
      <b/>
      <sz val="12"/>
      <color theme="1"/>
      <name val="Kingsbureaugrot-threeseven"/>
    </font>
    <font>
      <sz val="10"/>
      <color theme="1"/>
      <name val="Calibri"/>
      <family val="2"/>
      <scheme val="minor"/>
    </font>
    <font>
      <b/>
      <sz val="10"/>
      <color theme="1"/>
      <name val="Kingsbureaugrot-threeseven"/>
    </font>
    <font>
      <b/>
      <sz val="10"/>
      <color theme="1"/>
      <name val="Arial"/>
      <family val="2"/>
    </font>
    <font>
      <sz val="12"/>
      <name val="Calibri"/>
      <family val="2"/>
    </font>
    <font>
      <b/>
      <sz val="10"/>
      <color rgb="FF000000"/>
      <name val="Kingsbureaugrot fiveone"/>
    </font>
    <font>
      <b/>
      <sz val="10"/>
      <color theme="1"/>
      <name val="Kingsbureaugrot fiveone"/>
    </font>
    <font>
      <b/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Kingsbureaugrot fiveone"/>
    </font>
    <font>
      <sz val="10"/>
      <color theme="1"/>
      <name val="Galano grotesque"/>
    </font>
    <font>
      <b/>
      <sz val="14"/>
      <color theme="1"/>
      <name val="Kingsbureaugrot-threeseven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FFFFFF"/>
      <name val="Calibri"/>
      <family val="2"/>
      <scheme val="minor"/>
    </font>
    <font>
      <sz val="10"/>
      <color rgb="FF000000"/>
      <name val="Kingsbureaugrot fiveone"/>
    </font>
    <font>
      <i/>
      <sz val="10"/>
      <color rgb="FF000000"/>
      <name val="Kingsbureaugrot fiveone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Kingsbureaugrot fiveone"/>
    </font>
    <font>
      <b/>
      <i/>
      <sz val="10"/>
      <color theme="1"/>
      <name val="Kingsbureaugrot fiveone"/>
    </font>
    <font>
      <sz val="9"/>
      <name val="Calibri"/>
      <family val="3"/>
      <charset val="134"/>
      <scheme val="minor"/>
    </font>
    <font>
      <sz val="8"/>
      <color theme="1"/>
      <name val="Arial"/>
      <family val="2"/>
    </font>
    <font>
      <sz val="7.5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17" fontId="7" fillId="2" borderId="1" xfId="0" applyNumberFormat="1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17" fontId="7" fillId="4" borderId="1" xfId="0" applyNumberFormat="1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10" fillId="4" borderId="1" xfId="0" applyFont="1" applyFill="1" applyBorder="1"/>
    <xf numFmtId="176" fontId="11" fillId="4" borderId="1" xfId="0" applyNumberFormat="1" applyFont="1" applyFill="1" applyBorder="1"/>
    <xf numFmtId="176" fontId="12" fillId="4" borderId="1" xfId="0" applyNumberFormat="1" applyFont="1" applyFill="1" applyBorder="1"/>
    <xf numFmtId="177" fontId="12" fillId="0" borderId="1" xfId="0" applyNumberFormat="1" applyFont="1" applyBorder="1"/>
    <xf numFmtId="10" fontId="12" fillId="0" borderId="1" xfId="0" applyNumberFormat="1" applyFont="1" applyBorder="1"/>
    <xf numFmtId="0" fontId="13" fillId="0" borderId="0" xfId="0" applyFont="1"/>
    <xf numFmtId="178" fontId="10" fillId="4" borderId="1" xfId="0" applyNumberFormat="1" applyFont="1" applyFill="1" applyBorder="1"/>
    <xf numFmtId="0" fontId="12" fillId="0" borderId="0" xfId="0" applyFont="1"/>
    <xf numFmtId="9" fontId="11" fillId="0" borderId="0" xfId="0" applyNumberFormat="1" applyFont="1"/>
    <xf numFmtId="0" fontId="11" fillId="0" borderId="0" xfId="0" applyFont="1"/>
    <xf numFmtId="0" fontId="14" fillId="0" borderId="0" xfId="0" applyFont="1" applyAlignment="1">
      <alignment horizontal="left" vertical="center"/>
    </xf>
    <xf numFmtId="9" fontId="15" fillId="0" borderId="0" xfId="0" applyNumberFormat="1" applyFont="1" applyAlignment="1">
      <alignment horizontal="center" vertical="center"/>
    </xf>
    <xf numFmtId="179" fontId="15" fillId="0" borderId="0" xfId="0" applyNumberFormat="1" applyFont="1" applyAlignment="1">
      <alignment vertical="center"/>
    </xf>
    <xf numFmtId="0" fontId="16" fillId="0" borderId="0" xfId="0" applyFont="1"/>
    <xf numFmtId="179" fontId="16" fillId="0" borderId="0" xfId="0" applyNumberFormat="1" applyFont="1"/>
    <xf numFmtId="179" fontId="16" fillId="5" borderId="0" xfId="0" applyNumberFormat="1" applyFont="1" applyFill="1" applyAlignment="1">
      <alignment horizontal="left"/>
    </xf>
    <xf numFmtId="0" fontId="12" fillId="6" borderId="0" xfId="0" applyFont="1" applyFill="1"/>
    <xf numFmtId="177" fontId="17" fillId="6" borderId="0" xfId="0" applyNumberFormat="1" applyFont="1" applyFill="1" applyAlignment="1">
      <alignment horizontal="left" vertical="center"/>
    </xf>
    <xf numFmtId="30" fontId="16" fillId="6" borderId="0" xfId="0" applyNumberFormat="1" applyFont="1" applyFill="1"/>
    <xf numFmtId="0" fontId="18" fillId="6" borderId="0" xfId="0" applyFont="1" applyFill="1"/>
    <xf numFmtId="179" fontId="18" fillId="6" borderId="0" xfId="0" applyNumberFormat="1" applyFont="1" applyFill="1"/>
    <xf numFmtId="0" fontId="19" fillId="6" borderId="0" xfId="0" applyFont="1" applyFill="1"/>
    <xf numFmtId="0" fontId="20" fillId="6" borderId="5" xfId="0" applyFont="1" applyFill="1" applyBorder="1"/>
    <xf numFmtId="0" fontId="21" fillId="6" borderId="0" xfId="0" applyFont="1" applyFill="1"/>
    <xf numFmtId="9" fontId="15" fillId="6" borderId="0" xfId="0" applyNumberFormat="1" applyFont="1" applyFill="1" applyAlignment="1">
      <alignment horizontal="center" vertical="center"/>
    </xf>
    <xf numFmtId="179" fontId="15" fillId="6" borderId="0" xfId="0" applyNumberFormat="1" applyFont="1" applyFill="1" applyAlignment="1">
      <alignment vertical="center"/>
    </xf>
    <xf numFmtId="0" fontId="22" fillId="0" borderId="0" xfId="0" applyFont="1"/>
    <xf numFmtId="177" fontId="12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vertical="center"/>
    </xf>
    <xf numFmtId="17" fontId="7" fillId="7" borderId="5" xfId="0" applyNumberFormat="1" applyFont="1" applyFill="1" applyBorder="1"/>
    <xf numFmtId="180" fontId="8" fillId="0" borderId="0" xfId="0" applyNumberFormat="1" applyFont="1" applyAlignment="1">
      <alignment vertical="center"/>
    </xf>
    <xf numFmtId="179" fontId="8" fillId="0" borderId="0" xfId="0" applyNumberFormat="1" applyFont="1" applyAlignment="1">
      <alignment vertical="center"/>
    </xf>
    <xf numFmtId="179" fontId="22" fillId="0" borderId="0" xfId="0" applyNumberFormat="1" applyFont="1"/>
    <xf numFmtId="0" fontId="23" fillId="0" borderId="0" xfId="0" applyFont="1"/>
    <xf numFmtId="0" fontId="12" fillId="0" borderId="0" xfId="0" applyFont="1" applyAlignment="1">
      <alignment vertical="center"/>
    </xf>
    <xf numFmtId="0" fontId="24" fillId="4" borderId="5" xfId="0" applyFont="1" applyFill="1" applyBorder="1"/>
    <xf numFmtId="0" fontId="22" fillId="4" borderId="5" xfId="0" applyFont="1" applyFill="1" applyBorder="1"/>
    <xf numFmtId="0" fontId="8" fillId="8" borderId="6" xfId="0" applyFont="1" applyFill="1" applyBorder="1" applyAlignment="1">
      <alignment vertical="center"/>
    </xf>
    <xf numFmtId="181" fontId="8" fillId="8" borderId="6" xfId="0" applyNumberFormat="1" applyFont="1" applyFill="1" applyBorder="1" applyAlignment="1">
      <alignment horizontal="center" vertical="center"/>
    </xf>
    <xf numFmtId="3" fontId="25" fillId="0" borderId="0" xfId="0" applyNumberFormat="1" applyFont="1"/>
    <xf numFmtId="9" fontId="8" fillId="0" borderId="0" xfId="0" applyNumberFormat="1" applyFont="1" applyAlignment="1">
      <alignment horizontal="left" vertical="center"/>
    </xf>
    <xf numFmtId="0" fontId="24" fillId="0" borderId="0" xfId="0" applyFont="1"/>
    <xf numFmtId="179" fontId="24" fillId="0" borderId="0" xfId="0" applyNumberFormat="1" applyFont="1"/>
    <xf numFmtId="179" fontId="12" fillId="0" borderId="0" xfId="0" applyNumberFormat="1" applyFont="1" applyAlignment="1">
      <alignment vertical="center"/>
    </xf>
    <xf numFmtId="177" fontId="22" fillId="0" borderId="0" xfId="0" applyNumberFormat="1" applyFont="1"/>
    <xf numFmtId="179" fontId="8" fillId="8" borderId="6" xfId="0" applyNumberFormat="1" applyFont="1" applyFill="1" applyBorder="1" applyAlignment="1">
      <alignment vertical="center"/>
    </xf>
    <xf numFmtId="0" fontId="26" fillId="9" borderId="5" xfId="0" applyFont="1" applyFill="1" applyBorder="1"/>
    <xf numFmtId="0" fontId="0" fillId="9" borderId="5" xfId="0" applyFill="1" applyBorder="1"/>
    <xf numFmtId="0" fontId="4" fillId="0" borderId="0" xfId="0" applyFont="1"/>
    <xf numFmtId="0" fontId="8" fillId="2" borderId="1" xfId="0" applyFont="1" applyFill="1" applyBorder="1"/>
    <xf numFmtId="0" fontId="12" fillId="4" borderId="1" xfId="0" applyFont="1" applyFill="1" applyBorder="1"/>
    <xf numFmtId="177" fontId="12" fillId="4" borderId="1" xfId="0" applyNumberFormat="1" applyFont="1" applyFill="1" applyBorder="1"/>
    <xf numFmtId="180" fontId="10" fillId="4" borderId="1" xfId="0" applyNumberFormat="1" applyFont="1" applyFill="1" applyBorder="1" applyAlignment="1">
      <alignment vertical="center"/>
    </xf>
    <xf numFmtId="180" fontId="12" fillId="4" borderId="1" xfId="0" applyNumberFormat="1" applyFont="1" applyFill="1" applyBorder="1" applyAlignment="1">
      <alignment vertical="center"/>
    </xf>
    <xf numFmtId="177" fontId="11" fillId="4" borderId="1" xfId="0" applyNumberFormat="1" applyFont="1" applyFill="1" applyBorder="1"/>
    <xf numFmtId="0" fontId="11" fillId="4" borderId="1" xfId="0" applyFont="1" applyFill="1" applyBorder="1"/>
    <xf numFmtId="180" fontId="27" fillId="4" borderId="1" xfId="0" applyNumberFormat="1" applyFont="1" applyFill="1" applyBorder="1" applyAlignment="1">
      <alignment vertical="center"/>
    </xf>
    <xf numFmtId="0" fontId="28" fillId="0" borderId="7" xfId="0" applyFont="1" applyBorder="1"/>
    <xf numFmtId="0" fontId="8" fillId="0" borderId="7" xfId="0" applyFont="1" applyBorder="1"/>
    <xf numFmtId="177" fontId="8" fillId="0" borderId="7" xfId="0" applyNumberFormat="1" applyFont="1" applyBorder="1"/>
    <xf numFmtId="0" fontId="28" fillId="0" borderId="0" xfId="0" applyFont="1"/>
    <xf numFmtId="177" fontId="12" fillId="0" borderId="0" xfId="0" applyNumberFormat="1" applyFont="1"/>
    <xf numFmtId="14" fontId="11" fillId="4" borderId="1" xfId="0" applyNumberFormat="1" applyFont="1" applyFill="1" applyBorder="1"/>
    <xf numFmtId="10" fontId="11" fillId="4" borderId="1" xfId="0" applyNumberFormat="1" applyFont="1" applyFill="1" applyBorder="1"/>
    <xf numFmtId="177" fontId="12" fillId="0" borderId="1" xfId="0" applyNumberFormat="1" applyFont="1" applyBorder="1" applyAlignment="1">
      <alignment horizontal="right"/>
    </xf>
    <xf numFmtId="0" fontId="27" fillId="4" borderId="1" xfId="0" applyFont="1" applyFill="1" applyBorder="1"/>
    <xf numFmtId="14" fontId="12" fillId="4" borderId="1" xfId="0" applyNumberFormat="1" applyFont="1" applyFill="1" applyBorder="1"/>
    <xf numFmtId="177" fontId="11" fillId="0" borderId="1" xfId="0" applyNumberFormat="1" applyFont="1" applyBorder="1" applyAlignment="1">
      <alignment horizontal="right"/>
    </xf>
    <xf numFmtId="0" fontId="28" fillId="0" borderId="0" xfId="0" applyFont="1" applyAlignment="1">
      <alignment vertical="center"/>
    </xf>
    <xf numFmtId="9" fontId="8" fillId="0" borderId="0" xfId="0" applyNumberFormat="1" applyFont="1" applyAlignment="1">
      <alignment horizontal="center" vertical="center"/>
    </xf>
    <xf numFmtId="182" fontId="8" fillId="0" borderId="0" xfId="0" applyNumberFormat="1" applyFont="1" applyAlignment="1">
      <alignment vertical="center"/>
    </xf>
    <xf numFmtId="182" fontId="12" fillId="4" borderId="1" xfId="0" applyNumberFormat="1" applyFont="1" applyFill="1" applyBorder="1" applyAlignment="1">
      <alignment vertical="center"/>
    </xf>
    <xf numFmtId="182" fontId="11" fillId="4" borderId="1" xfId="0" applyNumberFormat="1" applyFont="1" applyFill="1" applyBorder="1" applyAlignment="1">
      <alignment vertical="center"/>
    </xf>
    <xf numFmtId="180" fontId="11" fillId="4" borderId="1" xfId="0" applyNumberFormat="1" applyFont="1" applyFill="1" applyBorder="1" applyAlignment="1">
      <alignment vertical="center"/>
    </xf>
    <xf numFmtId="30" fontId="16" fillId="0" borderId="0" xfId="0" applyNumberFormat="1" applyFont="1"/>
    <xf numFmtId="0" fontId="2" fillId="9" borderId="5" xfId="0" applyFont="1" applyFill="1" applyBorder="1"/>
    <xf numFmtId="9" fontId="12" fillId="0" borderId="0" xfId="0" applyNumberFormat="1" applyFont="1" applyAlignment="1">
      <alignment horizontal="left" vertical="center"/>
    </xf>
    <xf numFmtId="0" fontId="8" fillId="8" borderId="8" xfId="0" applyFont="1" applyFill="1" applyBorder="1" applyAlignment="1">
      <alignment vertical="center"/>
    </xf>
    <xf numFmtId="0" fontId="8" fillId="8" borderId="8" xfId="0" applyFont="1" applyFill="1" applyBorder="1" applyAlignment="1">
      <alignment horizontal="center" vertical="center"/>
    </xf>
    <xf numFmtId="179" fontId="8" fillId="8" borderId="8" xfId="0" applyNumberFormat="1" applyFont="1" applyFill="1" applyBorder="1" applyAlignment="1">
      <alignment vertical="center"/>
    </xf>
    <xf numFmtId="9" fontId="8" fillId="8" borderId="8" xfId="0" applyNumberFormat="1" applyFont="1" applyFill="1" applyBorder="1" applyAlignment="1">
      <alignment horizontal="center" vertical="center"/>
    </xf>
    <xf numFmtId="183" fontId="12" fillId="0" borderId="0" xfId="0" applyNumberFormat="1" applyFont="1" applyAlignment="1">
      <alignment vertical="center"/>
    </xf>
    <xf numFmtId="183" fontId="12" fillId="0" borderId="0" xfId="0" applyNumberFormat="1" applyFont="1" applyAlignment="1">
      <alignment horizontal="center" vertical="center"/>
    </xf>
    <xf numFmtId="183" fontId="22" fillId="0" borderId="0" xfId="0" applyNumberFormat="1" applyFont="1" applyAlignment="1">
      <alignment vertical="center"/>
    </xf>
    <xf numFmtId="9" fontId="8" fillId="8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/>
    <xf numFmtId="0" fontId="27" fillId="0" borderId="0" xfId="0" applyFont="1"/>
    <xf numFmtId="183" fontId="23" fillId="0" borderId="0" xfId="0" applyNumberFormat="1" applyFont="1" applyAlignment="1">
      <alignment vertical="center"/>
    </xf>
    <xf numFmtId="179" fontId="7" fillId="0" borderId="0" xfId="0" applyNumberFormat="1" applyFont="1" applyAlignment="1">
      <alignment vertical="center"/>
    </xf>
    <xf numFmtId="180" fontId="12" fillId="0" borderId="0" xfId="0" applyNumberFormat="1" applyFont="1" applyAlignment="1">
      <alignment vertical="center"/>
    </xf>
    <xf numFmtId="181" fontId="8" fillId="0" borderId="0" xfId="0" applyNumberFormat="1" applyFont="1" applyAlignment="1">
      <alignment horizontal="center" vertical="center"/>
    </xf>
    <xf numFmtId="184" fontId="22" fillId="0" borderId="0" xfId="0" applyNumberFormat="1" applyFont="1"/>
    <xf numFmtId="184" fontId="12" fillId="0" borderId="0" xfId="0" applyNumberFormat="1" applyFont="1" applyAlignment="1">
      <alignment vertical="center"/>
    </xf>
    <xf numFmtId="185" fontId="8" fillId="8" borderId="6" xfId="0" applyNumberFormat="1" applyFont="1" applyFill="1" applyBorder="1" applyAlignment="1">
      <alignment vertical="center"/>
    </xf>
    <xf numFmtId="0" fontId="12" fillId="4" borderId="5" xfId="0" applyFont="1" applyFill="1" applyBorder="1" applyAlignment="1">
      <alignment vertical="center"/>
    </xf>
    <xf numFmtId="9" fontId="12" fillId="4" borderId="0" xfId="0" applyNumberFormat="1" applyFont="1" applyFill="1" applyAlignment="1">
      <alignment horizontal="center" vertical="center"/>
    </xf>
    <xf numFmtId="9" fontId="12" fillId="4" borderId="0" xfId="0" applyNumberFormat="1" applyFont="1" applyFill="1" applyAlignment="1">
      <alignment vertical="center"/>
    </xf>
    <xf numFmtId="185" fontId="12" fillId="4" borderId="0" xfId="0" applyNumberFormat="1" applyFont="1" applyFill="1" applyAlignment="1">
      <alignment vertical="center"/>
    </xf>
    <xf numFmtId="180" fontId="8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1" fillId="4" borderId="5" xfId="0" applyFont="1" applyFill="1" applyBorder="1" applyAlignment="1">
      <alignment vertical="center"/>
    </xf>
    <xf numFmtId="9" fontId="12" fillId="0" borderId="0" xfId="0" applyNumberFormat="1" applyFont="1" applyAlignment="1">
      <alignment vertical="center"/>
    </xf>
    <xf numFmtId="185" fontId="12" fillId="0" borderId="0" xfId="0" applyNumberFormat="1" applyFont="1" applyAlignment="1">
      <alignment vertical="center"/>
    </xf>
    <xf numFmtId="179" fontId="8" fillId="8" borderId="9" xfId="0" applyNumberFormat="1" applyFont="1" applyFill="1" applyBorder="1" applyAlignment="1">
      <alignment vertical="center"/>
    </xf>
    <xf numFmtId="0" fontId="5" fillId="10" borderId="5" xfId="0" applyFont="1" applyFill="1" applyBorder="1" applyAlignment="1">
      <alignment vertical="center"/>
    </xf>
    <xf numFmtId="0" fontId="9" fillId="11" borderId="5" xfId="0" applyFont="1" applyFill="1" applyBorder="1"/>
    <xf numFmtId="0" fontId="5" fillId="12" borderId="5" xfId="0" applyFont="1" applyFill="1" applyBorder="1" applyAlignment="1">
      <alignment horizontal="right" vertical="center"/>
    </xf>
    <xf numFmtId="180" fontId="27" fillId="0" borderId="0" xfId="0" applyNumberFormat="1" applyFont="1" applyAlignment="1">
      <alignment horizontal="left"/>
    </xf>
    <xf numFmtId="0" fontId="7" fillId="0" borderId="0" xfId="0" applyFont="1"/>
    <xf numFmtId="3" fontId="8" fillId="8" borderId="8" xfId="0" applyNumberFormat="1" applyFont="1" applyFill="1" applyBorder="1" applyAlignment="1">
      <alignment vertical="center"/>
    </xf>
    <xf numFmtId="186" fontId="8" fillId="0" borderId="0" xfId="0" applyNumberFormat="1" applyFont="1" applyAlignment="1">
      <alignment vertical="center"/>
    </xf>
    <xf numFmtId="9" fontId="27" fillId="0" borderId="0" xfId="0" applyNumberFormat="1" applyFont="1" applyAlignment="1">
      <alignment vertical="center"/>
    </xf>
    <xf numFmtId="187" fontId="12" fillId="0" borderId="0" xfId="0" applyNumberFormat="1" applyFont="1" applyAlignment="1">
      <alignment vertical="center"/>
    </xf>
    <xf numFmtId="180" fontId="8" fillId="0" borderId="0" xfId="0" applyNumberFormat="1" applyFont="1"/>
    <xf numFmtId="182" fontId="22" fillId="0" borderId="0" xfId="0" applyNumberFormat="1" applyFont="1"/>
    <xf numFmtId="3" fontId="22" fillId="0" borderId="0" xfId="0" applyNumberFormat="1" applyFont="1"/>
    <xf numFmtId="182" fontId="7" fillId="0" borderId="0" xfId="0" applyNumberFormat="1" applyFont="1"/>
    <xf numFmtId="181" fontId="8" fillId="8" borderId="8" xfId="0" applyNumberFormat="1" applyFont="1" applyFill="1" applyBorder="1" applyAlignment="1">
      <alignment vertical="center"/>
    </xf>
    <xf numFmtId="182" fontId="8" fillId="8" borderId="8" xfId="0" applyNumberFormat="1" applyFont="1" applyFill="1" applyBorder="1" applyAlignment="1">
      <alignment vertical="center"/>
    </xf>
    <xf numFmtId="181" fontId="8" fillId="0" borderId="0" xfId="0" applyNumberFormat="1" applyFont="1" applyAlignment="1">
      <alignment vertical="center"/>
    </xf>
    <xf numFmtId="10" fontId="22" fillId="0" borderId="0" xfId="0" applyNumberFormat="1" applyFont="1"/>
    <xf numFmtId="182" fontId="12" fillId="0" borderId="0" xfId="0" applyNumberFormat="1" applyFont="1" applyAlignment="1">
      <alignment vertical="center"/>
    </xf>
    <xf numFmtId="9" fontId="8" fillId="8" borderId="8" xfId="0" applyNumberFormat="1" applyFont="1" applyFill="1" applyBorder="1" applyAlignment="1">
      <alignment vertical="center"/>
    </xf>
    <xf numFmtId="186" fontId="12" fillId="0" borderId="0" xfId="0" applyNumberFormat="1" applyFont="1" applyAlignment="1">
      <alignment vertical="center"/>
    </xf>
    <xf numFmtId="181" fontId="12" fillId="0" borderId="0" xfId="0" applyNumberFormat="1" applyFont="1" applyAlignment="1">
      <alignment vertical="center"/>
    </xf>
    <xf numFmtId="0" fontId="22" fillId="0" borderId="0" xfId="0" applyFont="1" applyAlignment="1">
      <alignment horizontal="left"/>
    </xf>
    <xf numFmtId="9" fontId="8" fillId="8" borderId="6" xfId="0" applyNumberFormat="1" applyFont="1" applyFill="1" applyBorder="1" applyAlignment="1">
      <alignment vertical="center"/>
    </xf>
    <xf numFmtId="182" fontId="8" fillId="8" borderId="6" xfId="0" applyNumberFormat="1" applyFont="1" applyFill="1" applyBorder="1" applyAlignment="1">
      <alignment vertical="center"/>
    </xf>
    <xf numFmtId="182" fontId="7" fillId="8" borderId="6" xfId="0" applyNumberFormat="1" applyFont="1" applyFill="1" applyBorder="1" applyAlignment="1">
      <alignment vertical="center"/>
    </xf>
    <xf numFmtId="180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8" borderId="6" xfId="0" applyFont="1" applyFill="1" applyBorder="1" applyAlignment="1">
      <alignment vertical="center"/>
    </xf>
    <xf numFmtId="9" fontId="12" fillId="8" borderId="6" xfId="0" applyNumberFormat="1" applyFont="1" applyFill="1" applyBorder="1" applyAlignment="1">
      <alignment vertical="center"/>
    </xf>
    <xf numFmtId="182" fontId="22" fillId="8" borderId="6" xfId="0" applyNumberFormat="1" applyFont="1" applyFill="1" applyBorder="1"/>
    <xf numFmtId="182" fontId="7" fillId="8" borderId="6" xfId="0" applyNumberFormat="1" applyFont="1" applyFill="1" applyBorder="1"/>
    <xf numFmtId="0" fontId="5" fillId="3" borderId="2" xfId="0" applyFont="1" applyFill="1" applyBorder="1" applyAlignment="1">
      <alignment horizontal="center" wrapText="1"/>
    </xf>
    <xf numFmtId="0" fontId="6" fillId="0" borderId="3" xfId="0" applyFont="1" applyBorder="1"/>
    <xf numFmtId="0" fontId="6" fillId="0" borderId="4" xfId="0" applyFont="1" applyBorder="1"/>
    <xf numFmtId="176" fontId="12" fillId="4" borderId="10" xfId="0" applyNumberFormat="1" applyFont="1" applyFill="1" applyBorder="1"/>
    <xf numFmtId="0" fontId="31" fillId="0" borderId="0" xfId="0" applyFont="1"/>
    <xf numFmtId="0" fontId="3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B19" sqref="B19"/>
    </sheetView>
  </sheetViews>
  <sheetFormatPr defaultColWidth="11.19921875" defaultRowHeight="15" customHeight="1"/>
  <cols>
    <col min="1" max="1" width="21.69921875" customWidth="1"/>
    <col min="2" max="2" width="14.09765625" customWidth="1"/>
    <col min="3" max="27" width="10.59765625" customWidth="1"/>
  </cols>
  <sheetData>
    <row r="1" spans="1:25" ht="24.75" customHeight="1">
      <c r="A1" s="1" t="s">
        <v>0</v>
      </c>
    </row>
    <row r="2" spans="1:25" ht="15.75" customHeight="1"/>
    <row r="3" spans="1:25" ht="15.75" customHeight="1">
      <c r="A3" s="1" t="s">
        <v>1</v>
      </c>
    </row>
    <row r="4" spans="1:25" ht="15.75" customHeight="1">
      <c r="A4" s="2"/>
      <c r="V4" s="3"/>
      <c r="W4" s="3"/>
      <c r="X4" s="3"/>
      <c r="Y4" s="3"/>
    </row>
    <row r="5" spans="1:25" ht="15.75" customHeight="1">
      <c r="A5" s="2"/>
      <c r="V5" s="3"/>
      <c r="W5" s="3"/>
      <c r="X5" s="3"/>
      <c r="Y5" s="3"/>
    </row>
    <row r="6" spans="1:25" ht="15.75" customHeight="1">
      <c r="A6" s="4" t="s">
        <v>2</v>
      </c>
      <c r="B6" s="5" t="s">
        <v>3</v>
      </c>
      <c r="C6" s="147" t="s">
        <v>4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9"/>
      <c r="Q6" s="6"/>
      <c r="R6" s="6"/>
    </row>
    <row r="7" spans="1:25" ht="15.75" customHeight="1">
      <c r="A7" s="7" t="s">
        <v>5</v>
      </c>
      <c r="B7" s="5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9" t="s">
        <v>11</v>
      </c>
      <c r="H7" s="9" t="s">
        <v>11</v>
      </c>
      <c r="I7" s="9" t="s">
        <v>11</v>
      </c>
      <c r="J7" s="9" t="s">
        <v>11</v>
      </c>
      <c r="K7" s="9" t="s">
        <v>11</v>
      </c>
      <c r="L7" s="9" t="s">
        <v>11</v>
      </c>
      <c r="M7" s="9" t="s">
        <v>11</v>
      </c>
      <c r="N7" s="9" t="s">
        <v>11</v>
      </c>
      <c r="O7" s="9" t="s">
        <v>11</v>
      </c>
      <c r="P7" s="6" t="s">
        <v>12</v>
      </c>
      <c r="Q7" s="6" t="s">
        <v>13</v>
      </c>
      <c r="R7" s="10" t="s">
        <v>14</v>
      </c>
    </row>
    <row r="8" spans="1:25" ht="15.75" customHeight="1">
      <c r="A8" s="11" t="s">
        <v>133</v>
      </c>
      <c r="B8" s="12">
        <v>24000</v>
      </c>
      <c r="C8" s="13">
        <v>360</v>
      </c>
      <c r="D8" s="12">
        <v>1000</v>
      </c>
      <c r="E8" s="12">
        <v>0</v>
      </c>
      <c r="F8" s="12">
        <v>800</v>
      </c>
      <c r="G8" s="12">
        <v>1200</v>
      </c>
      <c r="H8" s="12">
        <v>300</v>
      </c>
      <c r="I8" s="13">
        <v>500</v>
      </c>
      <c r="J8" s="12">
        <v>500</v>
      </c>
      <c r="K8" s="13">
        <v>400</v>
      </c>
      <c r="L8" s="13">
        <v>200</v>
      </c>
      <c r="M8" s="13"/>
      <c r="N8" s="13"/>
      <c r="O8" s="13"/>
      <c r="P8" s="14">
        <f t="shared" ref="P8:P13" si="0">SUM(C8:O8)</f>
        <v>5260</v>
      </c>
      <c r="Q8" s="14">
        <f t="shared" ref="Q8:Q13" si="1">B8-P8</f>
        <v>18740</v>
      </c>
      <c r="R8" s="15">
        <f t="shared" ref="R8:R13" si="2">IFERROR(Q8/B8,"")</f>
        <v>0.78083333333333338</v>
      </c>
    </row>
    <row r="9" spans="1:25" ht="15.75" customHeight="1">
      <c r="A9" s="11" t="s">
        <v>15</v>
      </c>
      <c r="B9" s="12"/>
      <c r="C9" s="13"/>
      <c r="D9" s="12"/>
      <c r="E9" s="12"/>
      <c r="F9" s="12"/>
      <c r="G9" s="13"/>
      <c r="H9" s="12"/>
      <c r="I9" s="13"/>
      <c r="J9" s="12"/>
      <c r="K9" s="13"/>
      <c r="L9" s="13"/>
      <c r="M9" s="13"/>
      <c r="N9" s="13"/>
      <c r="O9" s="13"/>
      <c r="P9" s="14">
        <f t="shared" si="0"/>
        <v>0</v>
      </c>
      <c r="Q9" s="14">
        <f t="shared" si="1"/>
        <v>0</v>
      </c>
      <c r="R9" s="15" t="str">
        <f t="shared" si="2"/>
        <v/>
      </c>
    </row>
    <row r="10" spans="1:25" ht="15.75" customHeight="1">
      <c r="A10" s="11" t="s">
        <v>16</v>
      </c>
      <c r="B10" s="12"/>
      <c r="C10" s="13"/>
      <c r="D10" s="12"/>
      <c r="E10" s="12"/>
      <c r="F10" s="12"/>
      <c r="G10" s="13"/>
      <c r="H10" s="12"/>
      <c r="I10" s="13"/>
      <c r="J10" s="12"/>
      <c r="K10" s="13"/>
      <c r="L10" s="13"/>
      <c r="M10" s="13"/>
      <c r="N10" s="13"/>
      <c r="O10" s="13"/>
      <c r="P10" s="14">
        <f t="shared" si="0"/>
        <v>0</v>
      </c>
      <c r="Q10" s="14">
        <f t="shared" si="1"/>
        <v>0</v>
      </c>
      <c r="R10" s="15" t="str">
        <f t="shared" si="2"/>
        <v/>
      </c>
    </row>
    <row r="11" spans="1:25" ht="15.75" customHeight="1">
      <c r="A11" s="11" t="s">
        <v>17</v>
      </c>
      <c r="B11" s="12"/>
      <c r="C11" s="13"/>
      <c r="D11" s="12"/>
      <c r="E11" s="12"/>
      <c r="F11" s="13"/>
      <c r="G11" s="13"/>
      <c r="H11" s="12"/>
      <c r="I11" s="13"/>
      <c r="J11" s="12"/>
      <c r="K11" s="13"/>
      <c r="L11" s="13"/>
      <c r="M11" s="13"/>
      <c r="N11" s="13"/>
      <c r="O11" s="13"/>
      <c r="P11" s="14">
        <f t="shared" si="0"/>
        <v>0</v>
      </c>
      <c r="Q11" s="14">
        <f t="shared" si="1"/>
        <v>0</v>
      </c>
      <c r="R11" s="15" t="str">
        <f t="shared" si="2"/>
        <v/>
      </c>
    </row>
    <row r="12" spans="1:25" ht="15.75" customHeight="1">
      <c r="A12" s="11" t="s">
        <v>18</v>
      </c>
      <c r="B12" s="12"/>
      <c r="C12" s="13"/>
      <c r="D12" s="12"/>
      <c r="E12" s="12"/>
      <c r="F12" s="13"/>
      <c r="G12" s="13"/>
      <c r="H12" s="12"/>
      <c r="I12" s="12"/>
      <c r="J12" s="12"/>
      <c r="K12" s="13"/>
      <c r="L12" s="13"/>
      <c r="M12" s="13"/>
      <c r="N12" s="13"/>
      <c r="O12" s="13"/>
      <c r="P12" s="14">
        <f t="shared" si="0"/>
        <v>0</v>
      </c>
      <c r="Q12" s="14">
        <f t="shared" si="1"/>
        <v>0</v>
      </c>
      <c r="R12" s="15" t="str">
        <f t="shared" si="2"/>
        <v/>
      </c>
    </row>
    <row r="13" spans="1:25" ht="15.75" customHeight="1">
      <c r="A13" s="11" t="s">
        <v>19</v>
      </c>
      <c r="B13" s="12"/>
      <c r="C13" s="13"/>
      <c r="D13" s="13"/>
      <c r="E13" s="13"/>
      <c r="F13" s="13"/>
      <c r="G13" s="13"/>
      <c r="H13" s="12"/>
      <c r="I13" s="13"/>
      <c r="J13" s="13"/>
      <c r="K13" s="13"/>
      <c r="L13" s="13"/>
      <c r="M13" s="13"/>
      <c r="N13" s="13"/>
      <c r="O13" s="13"/>
      <c r="P13" s="14">
        <f t="shared" si="0"/>
        <v>0</v>
      </c>
      <c r="Q13" s="14">
        <f t="shared" si="1"/>
        <v>0</v>
      </c>
      <c r="R13" s="15" t="str">
        <f t="shared" si="2"/>
        <v/>
      </c>
    </row>
    <row r="14" spans="1:25" ht="15.75" customHeight="1"/>
    <row r="15" spans="1:25" ht="15.75" customHeight="1"/>
    <row r="16" spans="1:25" ht="15.75" customHeight="1">
      <c r="A16" s="4" t="s">
        <v>20</v>
      </c>
      <c r="B16" s="4"/>
    </row>
    <row r="17" spans="1:3" ht="15.75" customHeight="1">
      <c r="A17" s="16" t="s">
        <v>21</v>
      </c>
      <c r="B17" s="17">
        <v>45658</v>
      </c>
    </row>
    <row r="18" spans="1:3" ht="15.75" customHeight="1">
      <c r="A18" s="16" t="s">
        <v>22</v>
      </c>
      <c r="B18" s="12">
        <v>300000</v>
      </c>
    </row>
    <row r="19" spans="1:3" ht="15.75" customHeight="1">
      <c r="A19" s="16"/>
      <c r="B19" s="16"/>
      <c r="C19" s="16"/>
    </row>
    <row r="20" spans="1:3" ht="15.75" customHeight="1">
      <c r="A20" s="16"/>
      <c r="B20" s="16"/>
      <c r="C20" s="16"/>
    </row>
    <row r="21" spans="1:3" ht="15.75" customHeight="1">
      <c r="A21" s="4" t="s">
        <v>23</v>
      </c>
      <c r="B21" s="4" t="s">
        <v>24</v>
      </c>
      <c r="C21" s="16"/>
    </row>
    <row r="22" spans="1:3" ht="15.75" customHeight="1">
      <c r="A22" s="18" t="s">
        <v>25</v>
      </c>
      <c r="B22" s="19">
        <v>0</v>
      </c>
      <c r="C22" s="16"/>
    </row>
    <row r="23" spans="1:3" ht="15.75" customHeight="1">
      <c r="A23" s="20" t="s">
        <v>26</v>
      </c>
      <c r="B23" s="19">
        <v>0</v>
      </c>
      <c r="C23" s="16"/>
    </row>
    <row r="24" spans="1:3" ht="15.75" customHeight="1">
      <c r="A24" s="20" t="s">
        <v>27</v>
      </c>
      <c r="B24" s="19">
        <v>0</v>
      </c>
      <c r="C24" s="16"/>
    </row>
    <row r="25" spans="1:3" ht="15.75" customHeight="1">
      <c r="C25" s="16"/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6:P6"/>
  </mergeCells>
  <phoneticPr fontId="29" type="noConversion"/>
  <dataValidations count="1">
    <dataValidation type="list" allowBlank="1" showErrorMessage="1" sqref="B22:B24" xr:uid="{00000000-0002-0000-0000-000000000000}">
      <formula1>"-75%,-50%,-25%,-20%,-19%,-18%,-17%,-16%,-15%,-14.%,-13%,-12%,-11%,-10%,-9%,-8%,-7%,-6%,-5%,-4%,-3%,-2%,-1%,0%,1%,2%,3%,4%,5%,10%,15%,25%,30%,50%,75%"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00"/>
  <sheetViews>
    <sheetView topLeftCell="A14" workbookViewId="0">
      <selection activeCell="AE10" sqref="AE10"/>
    </sheetView>
  </sheetViews>
  <sheetFormatPr defaultColWidth="11.19921875" defaultRowHeight="15" customHeight="1" outlineLevelRow="1"/>
  <cols>
    <col min="1" max="1" width="22.796875" customWidth="1"/>
    <col min="2" max="2" width="13" customWidth="1"/>
    <col min="3" max="3" width="4.296875" customWidth="1"/>
    <col min="4" max="4" width="9.69921875" customWidth="1"/>
    <col min="5" max="5" width="6.296875" customWidth="1"/>
    <col min="6" max="7" width="5.69921875" customWidth="1"/>
    <col min="8" max="8" width="6" customWidth="1"/>
    <col min="9" max="9" width="5.69921875" customWidth="1"/>
    <col min="10" max="11" width="6" customWidth="1"/>
    <col min="12" max="12" width="5.69921875" customWidth="1"/>
    <col min="13" max="13" width="5.796875" customWidth="1"/>
    <col min="14" max="14" width="6.09765625" customWidth="1"/>
    <col min="15" max="15" width="5.796875" customWidth="1"/>
    <col min="16" max="16" width="6.09765625" customWidth="1"/>
    <col min="17" max="18" width="5.69921875" customWidth="1"/>
    <col min="19" max="19" width="8" customWidth="1"/>
    <col min="20" max="20" width="6" customWidth="1"/>
    <col min="21" max="21" width="5.69921875" customWidth="1"/>
    <col min="22" max="24" width="6" customWidth="1"/>
    <col min="25" max="25" width="6.09765625" customWidth="1"/>
    <col min="26" max="26" width="6.3984375" customWidth="1"/>
    <col min="27" max="27" width="6.09765625" customWidth="1"/>
    <col min="28" max="28" width="6.3984375" customWidth="1"/>
    <col min="29" max="29" width="5.796875" customWidth="1"/>
    <col min="30" max="30" width="5.69921875" customWidth="1"/>
    <col min="31" max="31" width="6" customWidth="1"/>
    <col min="32" max="32" width="6.296875" customWidth="1"/>
    <col min="33" max="33" width="6" customWidth="1"/>
    <col min="34" max="35" width="6.296875" customWidth="1"/>
    <col min="36" max="36" width="5.69921875" customWidth="1"/>
    <col min="37" max="37" width="5.796875" customWidth="1"/>
    <col min="38" max="38" width="6.09765625" customWidth="1"/>
    <col min="39" max="39" width="5.796875" customWidth="1"/>
  </cols>
  <sheetData>
    <row r="1" spans="1:39" ht="27" customHeight="1">
      <c r="A1" s="21" t="s">
        <v>28</v>
      </c>
      <c r="B1" s="22"/>
      <c r="C1" s="23"/>
      <c r="D1" s="24"/>
      <c r="E1" s="24"/>
      <c r="F1" s="24"/>
      <c r="G1" s="24"/>
      <c r="H1" s="24"/>
      <c r="I1" s="25"/>
      <c r="J1" s="25"/>
      <c r="K1" s="25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  <c r="Z1" s="25"/>
      <c r="AA1" s="25"/>
      <c r="AB1" s="24"/>
      <c r="AC1" s="24"/>
      <c r="AD1" s="24"/>
      <c r="AE1" s="24"/>
      <c r="AF1" s="24"/>
      <c r="AG1" s="24"/>
      <c r="AH1" s="24"/>
      <c r="AI1" s="24"/>
      <c r="AJ1" s="24"/>
      <c r="AK1" s="26"/>
      <c r="AL1" s="25"/>
      <c r="AM1" s="25"/>
    </row>
    <row r="2" spans="1:39" ht="27" customHeight="1">
      <c r="A2" s="27"/>
      <c r="B2" s="28" t="s">
        <v>29</v>
      </c>
      <c r="C2" s="29"/>
      <c r="D2" s="30"/>
      <c r="E2" s="30"/>
      <c r="F2" s="30"/>
      <c r="G2" s="30"/>
      <c r="H2" s="30"/>
      <c r="I2" s="31"/>
      <c r="J2" s="31"/>
      <c r="K2" s="31"/>
      <c r="L2" s="32" t="s">
        <v>30</v>
      </c>
      <c r="M2" s="30"/>
      <c r="N2" s="30"/>
      <c r="O2" s="30"/>
      <c r="P2" s="30" t="s">
        <v>31</v>
      </c>
      <c r="Q2" s="30"/>
      <c r="R2" s="30"/>
      <c r="S2" s="30"/>
      <c r="T2" s="30" t="s">
        <v>32</v>
      </c>
      <c r="U2" s="30"/>
      <c r="V2" s="30"/>
      <c r="W2" s="30"/>
      <c r="X2" s="30"/>
      <c r="Y2" s="31"/>
      <c r="Z2" s="31"/>
      <c r="AA2" s="31"/>
      <c r="AB2" s="30"/>
      <c r="AC2" s="30"/>
      <c r="AD2" s="30"/>
      <c r="AE2" s="30"/>
      <c r="AF2" s="30"/>
      <c r="AG2" s="30"/>
      <c r="AH2" s="30"/>
      <c r="AI2" s="30"/>
      <c r="AJ2" s="30"/>
      <c r="AK2" s="31"/>
      <c r="AL2" s="31"/>
      <c r="AM2" s="31"/>
    </row>
    <row r="3" spans="1:39" ht="15.75" customHeight="1">
      <c r="A3" s="33" t="s">
        <v>33</v>
      </c>
      <c r="B3" s="28" t="s">
        <v>34</v>
      </c>
      <c r="C3" s="29"/>
      <c r="D3" s="30"/>
      <c r="E3" s="30"/>
      <c r="F3" s="30"/>
      <c r="G3" s="34"/>
      <c r="H3" s="30"/>
      <c r="I3" s="31"/>
      <c r="J3" s="31"/>
      <c r="K3" s="31"/>
      <c r="L3" s="30"/>
      <c r="M3" s="30"/>
      <c r="N3" s="30"/>
      <c r="O3" s="30"/>
      <c r="P3" s="30" t="s">
        <v>35</v>
      </c>
      <c r="Q3" s="30"/>
      <c r="R3" s="30"/>
      <c r="S3" s="30"/>
      <c r="T3" s="30"/>
      <c r="U3" s="30"/>
      <c r="V3" s="30"/>
      <c r="W3" s="30"/>
      <c r="X3" s="30"/>
      <c r="Y3" s="31"/>
      <c r="Z3" s="31"/>
      <c r="AA3" s="31"/>
      <c r="AB3" s="30"/>
      <c r="AC3" s="30"/>
      <c r="AD3" s="30"/>
      <c r="AE3" s="30"/>
      <c r="AF3" s="30"/>
      <c r="AG3" s="30"/>
      <c r="AH3" s="30"/>
      <c r="AI3" s="30"/>
      <c r="AJ3" s="30"/>
      <c r="AK3" s="31"/>
      <c r="AL3" s="31"/>
      <c r="AM3" s="31"/>
    </row>
    <row r="4" spans="1:39" ht="16.5" customHeight="1">
      <c r="A4" s="35"/>
      <c r="B4" s="28" t="s">
        <v>36</v>
      </c>
      <c r="C4" s="36"/>
      <c r="D4" s="30"/>
      <c r="E4" s="30"/>
      <c r="F4" s="30"/>
      <c r="G4" s="30"/>
      <c r="H4" s="30"/>
      <c r="I4" s="31"/>
      <c r="J4" s="31"/>
      <c r="K4" s="31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1"/>
      <c r="Z4" s="31"/>
      <c r="AA4" s="31"/>
      <c r="AB4" s="30"/>
      <c r="AC4" s="30"/>
      <c r="AD4" s="30"/>
      <c r="AE4" s="30"/>
      <c r="AF4" s="30"/>
      <c r="AG4" s="30"/>
      <c r="AH4" s="30"/>
      <c r="AI4" s="30"/>
      <c r="AJ4" s="30"/>
      <c r="AK4" s="31"/>
      <c r="AL4" s="31"/>
      <c r="AM4" s="31"/>
    </row>
    <row r="5" spans="1:39" ht="12" customHeight="1">
      <c r="A5" s="37"/>
      <c r="B5" s="38"/>
      <c r="C5" s="39"/>
      <c r="D5" s="40">
        <f>'Inputs - Products'!B17</f>
        <v>45658</v>
      </c>
      <c r="E5" s="40">
        <f t="shared" ref="E5:AM5" si="0">DATE(YEAR(D5),MONTH(D5)+1,DAY(D5))</f>
        <v>45689</v>
      </c>
      <c r="F5" s="40">
        <f t="shared" si="0"/>
        <v>45717</v>
      </c>
      <c r="G5" s="40">
        <f t="shared" si="0"/>
        <v>45748</v>
      </c>
      <c r="H5" s="40">
        <f t="shared" si="0"/>
        <v>45778</v>
      </c>
      <c r="I5" s="40">
        <f t="shared" si="0"/>
        <v>45809</v>
      </c>
      <c r="J5" s="40">
        <f t="shared" si="0"/>
        <v>45839</v>
      </c>
      <c r="K5" s="40">
        <f t="shared" si="0"/>
        <v>45870</v>
      </c>
      <c r="L5" s="40">
        <f t="shared" si="0"/>
        <v>45901</v>
      </c>
      <c r="M5" s="40">
        <f t="shared" si="0"/>
        <v>45931</v>
      </c>
      <c r="N5" s="40">
        <f t="shared" si="0"/>
        <v>45962</v>
      </c>
      <c r="O5" s="40">
        <f t="shared" si="0"/>
        <v>45992</v>
      </c>
      <c r="P5" s="40">
        <f t="shared" si="0"/>
        <v>46023</v>
      </c>
      <c r="Q5" s="40">
        <f t="shared" si="0"/>
        <v>46054</v>
      </c>
      <c r="R5" s="40">
        <f t="shared" si="0"/>
        <v>46082</v>
      </c>
      <c r="S5" s="40">
        <f t="shared" si="0"/>
        <v>46113</v>
      </c>
      <c r="T5" s="40">
        <f t="shared" si="0"/>
        <v>46143</v>
      </c>
      <c r="U5" s="40">
        <f t="shared" si="0"/>
        <v>46174</v>
      </c>
      <c r="V5" s="40">
        <f t="shared" si="0"/>
        <v>46204</v>
      </c>
      <c r="W5" s="40">
        <f t="shared" si="0"/>
        <v>46235</v>
      </c>
      <c r="X5" s="40">
        <f t="shared" si="0"/>
        <v>46266</v>
      </c>
      <c r="Y5" s="40">
        <f t="shared" si="0"/>
        <v>46296</v>
      </c>
      <c r="Z5" s="40">
        <f t="shared" si="0"/>
        <v>46327</v>
      </c>
      <c r="AA5" s="40">
        <f t="shared" si="0"/>
        <v>46357</v>
      </c>
      <c r="AB5" s="40">
        <f t="shared" si="0"/>
        <v>46388</v>
      </c>
      <c r="AC5" s="40">
        <f t="shared" si="0"/>
        <v>46419</v>
      </c>
      <c r="AD5" s="40">
        <f t="shared" si="0"/>
        <v>46447</v>
      </c>
      <c r="AE5" s="40">
        <f t="shared" si="0"/>
        <v>46478</v>
      </c>
      <c r="AF5" s="40">
        <f t="shared" si="0"/>
        <v>46508</v>
      </c>
      <c r="AG5" s="40">
        <f t="shared" si="0"/>
        <v>46539</v>
      </c>
      <c r="AH5" s="40">
        <f t="shared" si="0"/>
        <v>46569</v>
      </c>
      <c r="AI5" s="40">
        <f t="shared" si="0"/>
        <v>46600</v>
      </c>
      <c r="AJ5" s="40">
        <f t="shared" si="0"/>
        <v>46631</v>
      </c>
      <c r="AK5" s="40">
        <f t="shared" si="0"/>
        <v>46661</v>
      </c>
      <c r="AL5" s="40">
        <f t="shared" si="0"/>
        <v>46692</v>
      </c>
      <c r="AM5" s="40">
        <f t="shared" si="0"/>
        <v>46722</v>
      </c>
    </row>
    <row r="6" spans="1:39" ht="15.75" customHeight="1">
      <c r="B6" s="38"/>
    </row>
    <row r="7" spans="1:39" ht="12" customHeight="1">
      <c r="A7" s="41" t="s">
        <v>37</v>
      </c>
      <c r="B7" s="38"/>
      <c r="C7" s="42"/>
      <c r="D7" s="37"/>
      <c r="E7" s="37"/>
      <c r="F7" s="37"/>
      <c r="G7" s="37"/>
      <c r="H7" s="43"/>
      <c r="I7" s="43"/>
      <c r="J7" s="43"/>
      <c r="K7" s="43"/>
      <c r="L7" s="37"/>
      <c r="M7" s="43"/>
      <c r="N7" s="37"/>
      <c r="O7" s="37"/>
      <c r="P7" s="37"/>
      <c r="Q7" s="37"/>
      <c r="R7" s="37"/>
      <c r="S7" s="37"/>
      <c r="T7" s="37"/>
      <c r="U7" s="37"/>
      <c r="V7" s="37"/>
      <c r="W7" s="37"/>
      <c r="X7" s="43"/>
      <c r="Y7" s="43"/>
      <c r="Z7" s="43"/>
      <c r="AA7" s="43"/>
      <c r="AB7" s="37"/>
      <c r="AC7" s="37"/>
      <c r="AD7" s="37"/>
      <c r="AE7" s="37"/>
      <c r="AF7" s="37"/>
      <c r="AG7" s="37"/>
      <c r="AH7" s="37"/>
      <c r="AI7" s="37"/>
      <c r="AJ7" s="43"/>
      <c r="AK7" s="43"/>
      <c r="AL7" s="43"/>
      <c r="AM7" s="43"/>
    </row>
    <row r="8" spans="1:39" ht="12" customHeight="1">
      <c r="A8" s="41"/>
      <c r="B8" s="38"/>
      <c r="C8" s="42"/>
      <c r="D8" s="37"/>
      <c r="E8" s="18"/>
      <c r="F8" s="37"/>
      <c r="G8" s="37"/>
      <c r="H8" s="43"/>
      <c r="I8" s="43"/>
      <c r="J8" s="43"/>
      <c r="K8" s="43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43"/>
      <c r="Y8" s="43"/>
      <c r="Z8" s="43"/>
      <c r="AA8" s="43"/>
      <c r="AB8" s="37"/>
      <c r="AC8" s="37"/>
      <c r="AD8" s="37"/>
      <c r="AE8" s="37"/>
      <c r="AF8" s="37"/>
      <c r="AG8" s="37"/>
      <c r="AH8" s="37"/>
      <c r="AI8" s="37"/>
      <c r="AJ8" s="43"/>
      <c r="AK8" s="43"/>
      <c r="AL8" s="43"/>
      <c r="AM8" s="43"/>
    </row>
    <row r="9" spans="1:39" ht="12" customHeight="1" outlineLevel="1">
      <c r="A9" s="44" t="str">
        <f>'Inputs - Products'!A8</f>
        <v>Isotretinoin Monitoring App - Annual Provider Subscription</v>
      </c>
      <c r="B9" s="38"/>
      <c r="C9" s="45"/>
      <c r="D9" s="46">
        <v>0</v>
      </c>
      <c r="E9" s="46"/>
      <c r="F9" s="46"/>
      <c r="G9" s="46"/>
      <c r="H9" s="46"/>
      <c r="I9" s="46"/>
      <c r="J9" s="46">
        <v>1</v>
      </c>
      <c r="K9" s="46"/>
      <c r="L9" s="46">
        <v>1</v>
      </c>
      <c r="M9" s="46"/>
      <c r="N9" s="46">
        <v>1</v>
      </c>
      <c r="O9" s="46"/>
      <c r="P9" s="46">
        <v>1</v>
      </c>
      <c r="Q9" s="46"/>
      <c r="R9" s="46">
        <v>1</v>
      </c>
      <c r="S9" s="46"/>
      <c r="T9" s="46">
        <v>1</v>
      </c>
      <c r="U9" s="46"/>
      <c r="V9" s="46">
        <v>1</v>
      </c>
      <c r="W9" s="46"/>
      <c r="X9" s="46">
        <v>1</v>
      </c>
      <c r="Y9" s="47"/>
      <c r="Z9" s="47">
        <v>1</v>
      </c>
      <c r="AA9" s="46"/>
      <c r="AB9" s="47">
        <v>1</v>
      </c>
      <c r="AC9" s="47">
        <v>2</v>
      </c>
      <c r="AD9" s="47">
        <v>1</v>
      </c>
      <c r="AE9" s="47">
        <v>2</v>
      </c>
      <c r="AF9" s="47">
        <v>1</v>
      </c>
      <c r="AG9" s="47">
        <v>1</v>
      </c>
      <c r="AH9" s="47">
        <v>1</v>
      </c>
      <c r="AI9" s="47">
        <v>2</v>
      </c>
      <c r="AJ9" s="47">
        <v>1</v>
      </c>
      <c r="AK9" s="47">
        <v>1</v>
      </c>
      <c r="AL9" s="47">
        <v>1</v>
      </c>
      <c r="AM9" s="46">
        <v>1</v>
      </c>
    </row>
    <row r="10" spans="1:39" ht="15.75" customHeight="1" outlineLevel="1">
      <c r="A10" s="44" t="str">
        <f>'Inputs - Products'!A9</f>
        <v>Product 2</v>
      </c>
      <c r="B10" s="38"/>
      <c r="C10" s="18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7"/>
      <c r="AA10" s="46"/>
      <c r="AB10" s="47"/>
      <c r="AC10" s="47"/>
      <c r="AD10" s="46"/>
      <c r="AE10" s="47"/>
      <c r="AF10" s="47"/>
      <c r="AG10" s="46"/>
      <c r="AH10" s="47"/>
      <c r="AI10" s="47"/>
      <c r="AJ10" s="46"/>
      <c r="AK10" s="47"/>
      <c r="AL10" s="47"/>
      <c r="AM10" s="46"/>
    </row>
    <row r="11" spans="1:39" ht="15.75" customHeight="1" outlineLevel="1">
      <c r="A11" s="44" t="str">
        <f>'Inputs - Products'!A10</f>
        <v>Product 3</v>
      </c>
      <c r="B11" s="38"/>
      <c r="C11" s="18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7"/>
      <c r="R11" s="46"/>
      <c r="S11" s="47"/>
      <c r="T11" s="46"/>
      <c r="U11" s="46"/>
      <c r="V11" s="46"/>
      <c r="W11" s="46"/>
      <c r="X11" s="46"/>
      <c r="Y11" s="46"/>
      <c r="Z11" s="47"/>
      <c r="AA11" s="46"/>
      <c r="AB11" s="47"/>
      <c r="AC11" s="47"/>
      <c r="AD11" s="46"/>
      <c r="AE11" s="47"/>
      <c r="AF11" s="47"/>
      <c r="AG11" s="46"/>
      <c r="AH11" s="47"/>
      <c r="AI11" s="47"/>
      <c r="AJ11" s="46"/>
      <c r="AK11" s="47"/>
      <c r="AL11" s="47"/>
      <c r="AM11" s="46"/>
    </row>
    <row r="12" spans="1:39" ht="15.75" customHeight="1" outlineLevel="1">
      <c r="A12" s="44" t="str">
        <f>'Inputs - Products'!A11</f>
        <v>Product 4</v>
      </c>
      <c r="B12" s="38"/>
      <c r="C12" s="18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7"/>
      <c r="R12" s="46"/>
      <c r="S12" s="47"/>
      <c r="T12" s="47"/>
      <c r="U12" s="46"/>
      <c r="V12" s="46"/>
      <c r="W12" s="47"/>
      <c r="X12" s="46"/>
      <c r="Y12" s="47"/>
      <c r="Z12" s="47"/>
      <c r="AA12" s="46"/>
      <c r="AB12" s="47"/>
      <c r="AC12" s="47"/>
      <c r="AD12" s="46"/>
      <c r="AE12" s="47"/>
      <c r="AF12" s="47"/>
      <c r="AG12" s="46"/>
      <c r="AH12" s="47"/>
      <c r="AI12" s="47"/>
      <c r="AJ12" s="46"/>
      <c r="AK12" s="47"/>
      <c r="AL12" s="47"/>
      <c r="AM12" s="46"/>
    </row>
    <row r="13" spans="1:39" ht="15.75" customHeight="1" outlineLevel="1">
      <c r="A13" s="44" t="str">
        <f>'Inputs - Products'!A12</f>
        <v>Product 5</v>
      </c>
      <c r="B13" s="38"/>
      <c r="C13" s="18"/>
      <c r="D13" s="46"/>
      <c r="E13" s="46"/>
      <c r="F13" s="46"/>
      <c r="G13" s="46"/>
      <c r="H13" s="46"/>
      <c r="I13" s="46"/>
      <c r="J13" s="46"/>
      <c r="K13" s="46"/>
      <c r="L13" s="47"/>
      <c r="M13" s="47"/>
      <c r="N13" s="46"/>
      <c r="O13" s="47"/>
      <c r="P13" s="46"/>
      <c r="Q13" s="47"/>
      <c r="R13" s="47"/>
      <c r="S13" s="46"/>
      <c r="T13" s="47"/>
      <c r="U13" s="46"/>
      <c r="V13" s="46"/>
      <c r="W13" s="46"/>
      <c r="X13" s="47"/>
      <c r="Y13" s="47"/>
      <c r="Z13" s="46"/>
      <c r="AA13" s="47"/>
      <c r="AB13" s="46"/>
      <c r="AC13" s="47"/>
      <c r="AD13" s="47"/>
      <c r="AE13" s="46"/>
      <c r="AF13" s="47"/>
      <c r="AG13" s="46"/>
      <c r="AH13" s="46"/>
      <c r="AI13" s="46"/>
      <c r="AJ13" s="47"/>
      <c r="AK13" s="47"/>
      <c r="AL13" s="46"/>
      <c r="AM13" s="47"/>
    </row>
    <row r="14" spans="1:39" ht="15.75" customHeight="1" outlineLevel="1">
      <c r="A14" s="44" t="str">
        <f>'Inputs - Products'!A13</f>
        <v>Product 6</v>
      </c>
      <c r="B14" s="38"/>
      <c r="C14" s="18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</row>
    <row r="15" spans="1:39" ht="12" customHeight="1">
      <c r="A15" s="48" t="s">
        <v>38</v>
      </c>
      <c r="B15" s="49"/>
      <c r="C15" s="48"/>
      <c r="D15" s="48">
        <f t="shared" ref="D15:AM15" si="1">SUM(D9:D14)</f>
        <v>0</v>
      </c>
      <c r="E15" s="48">
        <f t="shared" si="1"/>
        <v>0</v>
      </c>
      <c r="F15" s="48">
        <f t="shared" si="1"/>
        <v>0</v>
      </c>
      <c r="G15" s="48">
        <f t="shared" si="1"/>
        <v>0</v>
      </c>
      <c r="H15" s="48">
        <f t="shared" si="1"/>
        <v>0</v>
      </c>
      <c r="I15" s="48">
        <f t="shared" si="1"/>
        <v>0</v>
      </c>
      <c r="J15" s="48">
        <f t="shared" si="1"/>
        <v>1</v>
      </c>
      <c r="K15" s="48">
        <f t="shared" si="1"/>
        <v>0</v>
      </c>
      <c r="L15" s="48">
        <f t="shared" si="1"/>
        <v>1</v>
      </c>
      <c r="M15" s="48">
        <f t="shared" si="1"/>
        <v>0</v>
      </c>
      <c r="N15" s="48">
        <f t="shared" si="1"/>
        <v>1</v>
      </c>
      <c r="O15" s="48">
        <f t="shared" si="1"/>
        <v>0</v>
      </c>
      <c r="P15" s="48">
        <f t="shared" si="1"/>
        <v>1</v>
      </c>
      <c r="Q15" s="48">
        <f t="shared" si="1"/>
        <v>0</v>
      </c>
      <c r="R15" s="48">
        <f t="shared" si="1"/>
        <v>1</v>
      </c>
      <c r="S15" s="48">
        <f t="shared" si="1"/>
        <v>0</v>
      </c>
      <c r="T15" s="48">
        <f>SUM(T9:T14)</f>
        <v>1</v>
      </c>
      <c r="U15" s="48">
        <f t="shared" si="1"/>
        <v>0</v>
      </c>
      <c r="V15" s="48">
        <f>SUM(V9:V14)</f>
        <v>1</v>
      </c>
      <c r="W15" s="48">
        <f t="shared" si="1"/>
        <v>0</v>
      </c>
      <c r="X15" s="48">
        <f t="shared" si="1"/>
        <v>1</v>
      </c>
      <c r="Y15" s="48">
        <f t="shared" si="1"/>
        <v>0</v>
      </c>
      <c r="Z15" s="48">
        <f t="shared" si="1"/>
        <v>1</v>
      </c>
      <c r="AA15" s="48">
        <f t="shared" si="1"/>
        <v>0</v>
      </c>
      <c r="AB15" s="48">
        <f t="shared" si="1"/>
        <v>1</v>
      </c>
      <c r="AC15" s="48">
        <f t="shared" si="1"/>
        <v>2</v>
      </c>
      <c r="AD15" s="48">
        <f t="shared" si="1"/>
        <v>1</v>
      </c>
      <c r="AE15" s="48">
        <f t="shared" si="1"/>
        <v>2</v>
      </c>
      <c r="AF15" s="48">
        <f t="shared" si="1"/>
        <v>1</v>
      </c>
      <c r="AG15" s="48">
        <f t="shared" si="1"/>
        <v>1</v>
      </c>
      <c r="AH15" s="48">
        <f t="shared" si="1"/>
        <v>1</v>
      </c>
      <c r="AI15" s="48">
        <f t="shared" si="1"/>
        <v>2</v>
      </c>
      <c r="AJ15" s="48">
        <f t="shared" si="1"/>
        <v>1</v>
      </c>
      <c r="AK15" s="48">
        <f t="shared" si="1"/>
        <v>1</v>
      </c>
      <c r="AL15" s="48">
        <f t="shared" si="1"/>
        <v>1</v>
      </c>
      <c r="AM15" s="48">
        <f t="shared" si="1"/>
        <v>1</v>
      </c>
    </row>
    <row r="16" spans="1:39" ht="15.75" customHeight="1">
      <c r="AM16" s="50"/>
    </row>
    <row r="17" spans="1:39" ht="12" customHeight="1">
      <c r="A17" s="41" t="s">
        <v>39</v>
      </c>
      <c r="B17" s="51" t="s">
        <v>40</v>
      </c>
      <c r="C17" s="42"/>
      <c r="D17" s="37"/>
      <c r="E17" s="37"/>
      <c r="F17" s="37"/>
      <c r="G17" s="37"/>
      <c r="H17" s="43"/>
      <c r="I17" s="43"/>
      <c r="J17" s="43"/>
      <c r="K17" s="43"/>
      <c r="L17" s="37"/>
      <c r="M17" s="43"/>
      <c r="N17" s="37"/>
      <c r="O17" s="37"/>
      <c r="P17" s="37"/>
      <c r="Q17" s="37"/>
      <c r="R17" s="52"/>
      <c r="S17" s="37"/>
      <c r="T17" s="37"/>
      <c r="U17" s="37"/>
      <c r="V17" s="37"/>
      <c r="W17" s="37"/>
      <c r="X17" s="43"/>
      <c r="Y17" s="43"/>
      <c r="Z17" s="43"/>
      <c r="AA17" s="43"/>
      <c r="AB17" s="52"/>
      <c r="AC17" s="52"/>
      <c r="AD17" s="52"/>
      <c r="AE17" s="37"/>
      <c r="AF17" s="52"/>
      <c r="AG17" s="37"/>
      <c r="AH17" s="37"/>
      <c r="AI17" s="37"/>
      <c r="AJ17" s="43"/>
      <c r="AK17" s="43"/>
      <c r="AL17" s="43"/>
      <c r="AM17" s="43"/>
    </row>
    <row r="18" spans="1:39" ht="12" customHeight="1">
      <c r="A18" s="41"/>
      <c r="B18" s="18"/>
      <c r="C18" s="42"/>
      <c r="D18" s="37"/>
      <c r="E18" s="18"/>
      <c r="F18" s="37"/>
      <c r="G18" s="37"/>
      <c r="H18" s="43"/>
      <c r="I18" s="53"/>
      <c r="J18" s="53"/>
      <c r="K18" s="53"/>
      <c r="L18" s="52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43"/>
      <c r="Y18" s="43"/>
      <c r="Z18" s="43"/>
      <c r="AA18" s="43"/>
      <c r="AB18" s="37"/>
      <c r="AC18" s="37"/>
      <c r="AD18" s="37"/>
      <c r="AE18" s="37"/>
      <c r="AF18" s="37"/>
      <c r="AG18" s="37"/>
      <c r="AH18" s="37"/>
      <c r="AI18" s="37"/>
      <c r="AJ18" s="43"/>
      <c r="AK18" s="43"/>
      <c r="AL18" s="43"/>
      <c r="AM18" s="43"/>
    </row>
    <row r="19" spans="1:39" ht="12" customHeight="1" outlineLevel="1">
      <c r="A19" s="44" t="str">
        <f>'Inputs - Products'!A8</f>
        <v>Isotretinoin Monitoring App - Annual Provider Subscription</v>
      </c>
      <c r="B19" s="38">
        <f>'Inputs - Products'!B8</f>
        <v>24000</v>
      </c>
      <c r="C19" s="54"/>
      <c r="D19" s="55">
        <f t="shared" ref="D19:AM19" si="2">D9*$B19</f>
        <v>0</v>
      </c>
      <c r="E19" s="55">
        <f t="shared" si="2"/>
        <v>0</v>
      </c>
      <c r="F19" s="55">
        <f t="shared" si="2"/>
        <v>0</v>
      </c>
      <c r="G19" s="55">
        <f t="shared" si="2"/>
        <v>0</v>
      </c>
      <c r="H19" s="55">
        <f t="shared" si="2"/>
        <v>0</v>
      </c>
      <c r="I19" s="55">
        <f t="shared" si="2"/>
        <v>0</v>
      </c>
      <c r="J19" s="55">
        <f t="shared" si="2"/>
        <v>24000</v>
      </c>
      <c r="K19" s="55">
        <f t="shared" si="2"/>
        <v>0</v>
      </c>
      <c r="L19" s="55">
        <f t="shared" si="2"/>
        <v>24000</v>
      </c>
      <c r="M19" s="55">
        <f t="shared" si="2"/>
        <v>0</v>
      </c>
      <c r="N19" s="55">
        <f t="shared" si="2"/>
        <v>24000</v>
      </c>
      <c r="O19" s="55">
        <f t="shared" si="2"/>
        <v>0</v>
      </c>
      <c r="P19" s="55">
        <f t="shared" si="2"/>
        <v>24000</v>
      </c>
      <c r="Q19" s="55">
        <f t="shared" si="2"/>
        <v>0</v>
      </c>
      <c r="R19" s="55">
        <f t="shared" si="2"/>
        <v>24000</v>
      </c>
      <c r="S19" s="55">
        <f t="shared" si="2"/>
        <v>0</v>
      </c>
      <c r="T19" s="55">
        <f>T9*$B19</f>
        <v>24000</v>
      </c>
      <c r="U19" s="55">
        <f t="shared" si="2"/>
        <v>0</v>
      </c>
      <c r="V19" s="55">
        <f>V9*$B19</f>
        <v>24000</v>
      </c>
      <c r="W19" s="55">
        <f t="shared" si="2"/>
        <v>0</v>
      </c>
      <c r="X19" s="55">
        <f t="shared" si="2"/>
        <v>24000</v>
      </c>
      <c r="Y19" s="55">
        <f t="shared" si="2"/>
        <v>0</v>
      </c>
      <c r="Z19" s="55">
        <f t="shared" si="2"/>
        <v>24000</v>
      </c>
      <c r="AA19" s="55">
        <f t="shared" si="2"/>
        <v>0</v>
      </c>
      <c r="AB19" s="55">
        <f t="shared" si="2"/>
        <v>24000</v>
      </c>
      <c r="AC19" s="55">
        <f t="shared" si="2"/>
        <v>48000</v>
      </c>
      <c r="AD19" s="55">
        <f t="shared" si="2"/>
        <v>24000</v>
      </c>
      <c r="AE19" s="55">
        <f t="shared" si="2"/>
        <v>48000</v>
      </c>
      <c r="AF19" s="55">
        <f t="shared" si="2"/>
        <v>24000</v>
      </c>
      <c r="AG19" s="55">
        <f t="shared" si="2"/>
        <v>24000</v>
      </c>
      <c r="AH19" s="55">
        <f t="shared" si="2"/>
        <v>24000</v>
      </c>
      <c r="AI19" s="55">
        <f t="shared" si="2"/>
        <v>48000</v>
      </c>
      <c r="AJ19" s="55">
        <f t="shared" si="2"/>
        <v>24000</v>
      </c>
      <c r="AK19" s="55">
        <f t="shared" si="2"/>
        <v>24000</v>
      </c>
      <c r="AL19" s="55">
        <f t="shared" si="2"/>
        <v>24000</v>
      </c>
      <c r="AM19" s="55">
        <f t="shared" si="2"/>
        <v>24000</v>
      </c>
    </row>
    <row r="20" spans="1:39" ht="12" customHeight="1" outlineLevel="1">
      <c r="A20" s="44" t="str">
        <f>'Inputs - Products'!A9</f>
        <v>Product 2</v>
      </c>
      <c r="B20" s="38">
        <f>'Inputs - Products'!B9</f>
        <v>0</v>
      </c>
      <c r="C20" s="54"/>
      <c r="D20" s="55">
        <f t="shared" ref="D20:AM20" si="3">D10*$B20</f>
        <v>0</v>
      </c>
      <c r="E20" s="55">
        <f t="shared" si="3"/>
        <v>0</v>
      </c>
      <c r="F20" s="55">
        <f t="shared" si="3"/>
        <v>0</v>
      </c>
      <c r="G20" s="55">
        <f t="shared" si="3"/>
        <v>0</v>
      </c>
      <c r="H20" s="55">
        <f t="shared" si="3"/>
        <v>0</v>
      </c>
      <c r="I20" s="55">
        <f t="shared" si="3"/>
        <v>0</v>
      </c>
      <c r="J20" s="55">
        <f t="shared" si="3"/>
        <v>0</v>
      </c>
      <c r="K20" s="55">
        <f t="shared" si="3"/>
        <v>0</v>
      </c>
      <c r="L20" s="55">
        <f t="shared" si="3"/>
        <v>0</v>
      </c>
      <c r="M20" s="55">
        <f t="shared" si="3"/>
        <v>0</v>
      </c>
      <c r="N20" s="55">
        <f t="shared" si="3"/>
        <v>0</v>
      </c>
      <c r="O20" s="55">
        <f t="shared" si="3"/>
        <v>0</v>
      </c>
      <c r="P20" s="55">
        <f t="shared" si="3"/>
        <v>0</v>
      </c>
      <c r="Q20" s="55">
        <f t="shared" si="3"/>
        <v>0</v>
      </c>
      <c r="R20" s="55">
        <f t="shared" si="3"/>
        <v>0</v>
      </c>
      <c r="S20" s="55">
        <f t="shared" si="3"/>
        <v>0</v>
      </c>
      <c r="T20" s="55">
        <f t="shared" si="3"/>
        <v>0</v>
      </c>
      <c r="U20" s="55">
        <f t="shared" si="3"/>
        <v>0</v>
      </c>
      <c r="V20" s="55">
        <f t="shared" si="3"/>
        <v>0</v>
      </c>
      <c r="W20" s="55">
        <f t="shared" si="3"/>
        <v>0</v>
      </c>
      <c r="X20" s="55">
        <f t="shared" si="3"/>
        <v>0</v>
      </c>
      <c r="Y20" s="55">
        <f t="shared" si="3"/>
        <v>0</v>
      </c>
      <c r="Z20" s="55">
        <f t="shared" si="3"/>
        <v>0</v>
      </c>
      <c r="AA20" s="55">
        <f t="shared" si="3"/>
        <v>0</v>
      </c>
      <c r="AB20" s="55">
        <f t="shared" si="3"/>
        <v>0</v>
      </c>
      <c r="AC20" s="55">
        <f t="shared" si="3"/>
        <v>0</v>
      </c>
      <c r="AD20" s="55">
        <f t="shared" si="3"/>
        <v>0</v>
      </c>
      <c r="AE20" s="55">
        <f t="shared" si="3"/>
        <v>0</v>
      </c>
      <c r="AF20" s="55">
        <f t="shared" si="3"/>
        <v>0</v>
      </c>
      <c r="AG20" s="55">
        <f t="shared" si="3"/>
        <v>0</v>
      </c>
      <c r="AH20" s="55">
        <f t="shared" si="3"/>
        <v>0</v>
      </c>
      <c r="AI20" s="55">
        <f t="shared" si="3"/>
        <v>0</v>
      </c>
      <c r="AJ20" s="55">
        <f t="shared" si="3"/>
        <v>0</v>
      </c>
      <c r="AK20" s="55">
        <f t="shared" si="3"/>
        <v>0</v>
      </c>
      <c r="AL20" s="55">
        <f t="shared" si="3"/>
        <v>0</v>
      </c>
      <c r="AM20" s="55">
        <f t="shared" si="3"/>
        <v>0</v>
      </c>
    </row>
    <row r="21" spans="1:39" ht="12" customHeight="1" outlineLevel="1">
      <c r="A21" s="44" t="str">
        <f>'Inputs - Products'!A10</f>
        <v>Product 3</v>
      </c>
      <c r="B21" s="38">
        <f>'Inputs - Products'!B10</f>
        <v>0</v>
      </c>
      <c r="C21" s="54"/>
      <c r="D21" s="55">
        <f t="shared" ref="D21:AM21" si="4">D11*$B21</f>
        <v>0</v>
      </c>
      <c r="E21" s="55">
        <f t="shared" si="4"/>
        <v>0</v>
      </c>
      <c r="F21" s="55">
        <f t="shared" si="4"/>
        <v>0</v>
      </c>
      <c r="G21" s="55">
        <f t="shared" si="4"/>
        <v>0</v>
      </c>
      <c r="H21" s="55">
        <f t="shared" si="4"/>
        <v>0</v>
      </c>
      <c r="I21" s="55">
        <f t="shared" si="4"/>
        <v>0</v>
      </c>
      <c r="J21" s="55">
        <f t="shared" si="4"/>
        <v>0</v>
      </c>
      <c r="K21" s="55">
        <f t="shared" si="4"/>
        <v>0</v>
      </c>
      <c r="L21" s="55">
        <f t="shared" si="4"/>
        <v>0</v>
      </c>
      <c r="M21" s="55">
        <f t="shared" si="4"/>
        <v>0</v>
      </c>
      <c r="N21" s="55">
        <f t="shared" si="4"/>
        <v>0</v>
      </c>
      <c r="O21" s="55">
        <f t="shared" si="4"/>
        <v>0</v>
      </c>
      <c r="P21" s="55">
        <f t="shared" si="4"/>
        <v>0</v>
      </c>
      <c r="Q21" s="55">
        <f t="shared" si="4"/>
        <v>0</v>
      </c>
      <c r="R21" s="55">
        <f t="shared" si="4"/>
        <v>0</v>
      </c>
      <c r="S21" s="55">
        <f t="shared" si="4"/>
        <v>0</v>
      </c>
      <c r="T21" s="55">
        <f t="shared" si="4"/>
        <v>0</v>
      </c>
      <c r="U21" s="55">
        <f t="shared" si="4"/>
        <v>0</v>
      </c>
      <c r="V21" s="55">
        <f t="shared" si="4"/>
        <v>0</v>
      </c>
      <c r="W21" s="55">
        <f t="shared" si="4"/>
        <v>0</v>
      </c>
      <c r="X21" s="55">
        <f t="shared" si="4"/>
        <v>0</v>
      </c>
      <c r="Y21" s="55">
        <f t="shared" si="4"/>
        <v>0</v>
      </c>
      <c r="Z21" s="55">
        <f t="shared" si="4"/>
        <v>0</v>
      </c>
      <c r="AA21" s="55">
        <f t="shared" si="4"/>
        <v>0</v>
      </c>
      <c r="AB21" s="55">
        <f t="shared" si="4"/>
        <v>0</v>
      </c>
      <c r="AC21" s="55">
        <f t="shared" si="4"/>
        <v>0</v>
      </c>
      <c r="AD21" s="55">
        <f t="shared" si="4"/>
        <v>0</v>
      </c>
      <c r="AE21" s="55">
        <f t="shared" si="4"/>
        <v>0</v>
      </c>
      <c r="AF21" s="55">
        <f t="shared" si="4"/>
        <v>0</v>
      </c>
      <c r="AG21" s="55">
        <f t="shared" si="4"/>
        <v>0</v>
      </c>
      <c r="AH21" s="55">
        <f t="shared" si="4"/>
        <v>0</v>
      </c>
      <c r="AI21" s="55">
        <f t="shared" si="4"/>
        <v>0</v>
      </c>
      <c r="AJ21" s="55">
        <f t="shared" si="4"/>
        <v>0</v>
      </c>
      <c r="AK21" s="55">
        <f t="shared" si="4"/>
        <v>0</v>
      </c>
      <c r="AL21" s="55">
        <f t="shared" si="4"/>
        <v>0</v>
      </c>
      <c r="AM21" s="55">
        <f t="shared" si="4"/>
        <v>0</v>
      </c>
    </row>
    <row r="22" spans="1:39" ht="12" customHeight="1" outlineLevel="1">
      <c r="A22" s="44" t="str">
        <f>'Inputs - Products'!A11</f>
        <v>Product 4</v>
      </c>
      <c r="B22" s="38">
        <f>'Inputs - Products'!B11</f>
        <v>0</v>
      </c>
      <c r="C22" s="54"/>
      <c r="D22" s="55">
        <f t="shared" ref="D22:AM22" si="5">D12*$B22</f>
        <v>0</v>
      </c>
      <c r="E22" s="55">
        <f t="shared" si="5"/>
        <v>0</v>
      </c>
      <c r="F22" s="55">
        <f t="shared" si="5"/>
        <v>0</v>
      </c>
      <c r="G22" s="55">
        <f t="shared" si="5"/>
        <v>0</v>
      </c>
      <c r="H22" s="55">
        <f t="shared" si="5"/>
        <v>0</v>
      </c>
      <c r="I22" s="55">
        <f t="shared" si="5"/>
        <v>0</v>
      </c>
      <c r="J22" s="55">
        <f t="shared" si="5"/>
        <v>0</v>
      </c>
      <c r="K22" s="55">
        <f t="shared" si="5"/>
        <v>0</v>
      </c>
      <c r="L22" s="55">
        <f t="shared" si="5"/>
        <v>0</v>
      </c>
      <c r="M22" s="55">
        <f t="shared" si="5"/>
        <v>0</v>
      </c>
      <c r="N22" s="55">
        <f t="shared" si="5"/>
        <v>0</v>
      </c>
      <c r="O22" s="55">
        <f t="shared" si="5"/>
        <v>0</v>
      </c>
      <c r="P22" s="55">
        <f t="shared" si="5"/>
        <v>0</v>
      </c>
      <c r="Q22" s="55">
        <f t="shared" si="5"/>
        <v>0</v>
      </c>
      <c r="R22" s="55">
        <f t="shared" si="5"/>
        <v>0</v>
      </c>
      <c r="S22" s="55">
        <f t="shared" si="5"/>
        <v>0</v>
      </c>
      <c r="T22" s="55">
        <f t="shared" si="5"/>
        <v>0</v>
      </c>
      <c r="U22" s="55">
        <f t="shared" si="5"/>
        <v>0</v>
      </c>
      <c r="V22" s="55">
        <f t="shared" si="5"/>
        <v>0</v>
      </c>
      <c r="W22" s="55">
        <f t="shared" si="5"/>
        <v>0</v>
      </c>
      <c r="X22" s="55">
        <f t="shared" si="5"/>
        <v>0</v>
      </c>
      <c r="Y22" s="55">
        <f t="shared" si="5"/>
        <v>0</v>
      </c>
      <c r="Z22" s="55">
        <f t="shared" si="5"/>
        <v>0</v>
      </c>
      <c r="AA22" s="55">
        <f t="shared" si="5"/>
        <v>0</v>
      </c>
      <c r="AB22" s="55">
        <f t="shared" si="5"/>
        <v>0</v>
      </c>
      <c r="AC22" s="55">
        <f t="shared" si="5"/>
        <v>0</v>
      </c>
      <c r="AD22" s="55">
        <f t="shared" si="5"/>
        <v>0</v>
      </c>
      <c r="AE22" s="55">
        <f t="shared" si="5"/>
        <v>0</v>
      </c>
      <c r="AF22" s="55">
        <f t="shared" si="5"/>
        <v>0</v>
      </c>
      <c r="AG22" s="55">
        <f t="shared" si="5"/>
        <v>0</v>
      </c>
      <c r="AH22" s="55">
        <f t="shared" si="5"/>
        <v>0</v>
      </c>
      <c r="AI22" s="55">
        <f t="shared" si="5"/>
        <v>0</v>
      </c>
      <c r="AJ22" s="55">
        <f t="shared" si="5"/>
        <v>0</v>
      </c>
      <c r="AK22" s="55">
        <f t="shared" si="5"/>
        <v>0</v>
      </c>
      <c r="AL22" s="55">
        <f t="shared" si="5"/>
        <v>0</v>
      </c>
      <c r="AM22" s="55">
        <f t="shared" si="5"/>
        <v>0</v>
      </c>
    </row>
    <row r="23" spans="1:39" ht="12" customHeight="1" outlineLevel="1">
      <c r="A23" s="44" t="str">
        <f>'Inputs - Products'!A12</f>
        <v>Product 5</v>
      </c>
      <c r="B23" s="38">
        <f>'Inputs - Products'!B12</f>
        <v>0</v>
      </c>
      <c r="C23" s="54"/>
      <c r="D23" s="55">
        <f t="shared" ref="D23:AM23" si="6">D13*$B23</f>
        <v>0</v>
      </c>
      <c r="E23" s="55">
        <f t="shared" si="6"/>
        <v>0</v>
      </c>
      <c r="F23" s="55">
        <f t="shared" si="6"/>
        <v>0</v>
      </c>
      <c r="G23" s="55">
        <f t="shared" si="6"/>
        <v>0</v>
      </c>
      <c r="H23" s="55">
        <f t="shared" si="6"/>
        <v>0</v>
      </c>
      <c r="I23" s="55">
        <f t="shared" si="6"/>
        <v>0</v>
      </c>
      <c r="J23" s="55">
        <f t="shared" si="6"/>
        <v>0</v>
      </c>
      <c r="K23" s="55">
        <f t="shared" si="6"/>
        <v>0</v>
      </c>
      <c r="L23" s="55">
        <f t="shared" si="6"/>
        <v>0</v>
      </c>
      <c r="M23" s="55">
        <f t="shared" si="6"/>
        <v>0</v>
      </c>
      <c r="N23" s="55">
        <f t="shared" si="6"/>
        <v>0</v>
      </c>
      <c r="O23" s="55">
        <f t="shared" si="6"/>
        <v>0</v>
      </c>
      <c r="P23" s="55">
        <f t="shared" si="6"/>
        <v>0</v>
      </c>
      <c r="Q23" s="55">
        <f t="shared" si="6"/>
        <v>0</v>
      </c>
      <c r="R23" s="55">
        <f t="shared" si="6"/>
        <v>0</v>
      </c>
      <c r="S23" s="55">
        <f t="shared" si="6"/>
        <v>0</v>
      </c>
      <c r="T23" s="55">
        <f t="shared" si="6"/>
        <v>0</v>
      </c>
      <c r="U23" s="55">
        <f t="shared" si="6"/>
        <v>0</v>
      </c>
      <c r="V23" s="55">
        <f t="shared" si="6"/>
        <v>0</v>
      </c>
      <c r="W23" s="55">
        <f t="shared" si="6"/>
        <v>0</v>
      </c>
      <c r="X23" s="55">
        <f t="shared" si="6"/>
        <v>0</v>
      </c>
      <c r="Y23" s="55">
        <f t="shared" si="6"/>
        <v>0</v>
      </c>
      <c r="Z23" s="55">
        <f t="shared" si="6"/>
        <v>0</v>
      </c>
      <c r="AA23" s="55">
        <f t="shared" si="6"/>
        <v>0</v>
      </c>
      <c r="AB23" s="55">
        <f t="shared" si="6"/>
        <v>0</v>
      </c>
      <c r="AC23" s="55">
        <f t="shared" si="6"/>
        <v>0</v>
      </c>
      <c r="AD23" s="55">
        <f t="shared" si="6"/>
        <v>0</v>
      </c>
      <c r="AE23" s="55">
        <f t="shared" si="6"/>
        <v>0</v>
      </c>
      <c r="AF23" s="55">
        <f t="shared" si="6"/>
        <v>0</v>
      </c>
      <c r="AG23" s="55">
        <f t="shared" si="6"/>
        <v>0</v>
      </c>
      <c r="AH23" s="55">
        <f t="shared" si="6"/>
        <v>0</v>
      </c>
      <c r="AI23" s="55">
        <f t="shared" si="6"/>
        <v>0</v>
      </c>
      <c r="AJ23" s="55">
        <f t="shared" si="6"/>
        <v>0</v>
      </c>
      <c r="AK23" s="55">
        <f t="shared" si="6"/>
        <v>0</v>
      </c>
      <c r="AL23" s="55">
        <f t="shared" si="6"/>
        <v>0</v>
      </c>
      <c r="AM23" s="55">
        <f t="shared" si="6"/>
        <v>0</v>
      </c>
    </row>
    <row r="24" spans="1:39" ht="12" customHeight="1" outlineLevel="1">
      <c r="A24" s="44" t="str">
        <f>'Inputs - Products'!A13</f>
        <v>Product 6</v>
      </c>
      <c r="B24" s="38">
        <f>'Inputs - Products'!B13</f>
        <v>0</v>
      </c>
      <c r="C24" s="54"/>
      <c r="D24" s="55">
        <f t="shared" ref="D24:AM24" si="7">D14*$B24</f>
        <v>0</v>
      </c>
      <c r="E24" s="55">
        <f t="shared" si="7"/>
        <v>0</v>
      </c>
      <c r="F24" s="55">
        <f t="shared" si="7"/>
        <v>0</v>
      </c>
      <c r="G24" s="55">
        <f t="shared" si="7"/>
        <v>0</v>
      </c>
      <c r="H24" s="55">
        <f t="shared" si="7"/>
        <v>0</v>
      </c>
      <c r="I24" s="55">
        <f t="shared" si="7"/>
        <v>0</v>
      </c>
      <c r="J24" s="55">
        <f t="shared" si="7"/>
        <v>0</v>
      </c>
      <c r="K24" s="55">
        <f t="shared" si="7"/>
        <v>0</v>
      </c>
      <c r="L24" s="55">
        <f t="shared" si="7"/>
        <v>0</v>
      </c>
      <c r="M24" s="55">
        <f t="shared" si="7"/>
        <v>0</v>
      </c>
      <c r="N24" s="55">
        <f t="shared" si="7"/>
        <v>0</v>
      </c>
      <c r="O24" s="55">
        <f t="shared" si="7"/>
        <v>0</v>
      </c>
      <c r="P24" s="55">
        <f t="shared" si="7"/>
        <v>0</v>
      </c>
      <c r="Q24" s="55">
        <f t="shared" si="7"/>
        <v>0</v>
      </c>
      <c r="R24" s="55">
        <f t="shared" si="7"/>
        <v>0</v>
      </c>
      <c r="S24" s="55">
        <f t="shared" si="7"/>
        <v>0</v>
      </c>
      <c r="T24" s="55">
        <f t="shared" si="7"/>
        <v>0</v>
      </c>
      <c r="U24" s="55">
        <f t="shared" si="7"/>
        <v>0</v>
      </c>
      <c r="V24" s="55">
        <f t="shared" si="7"/>
        <v>0</v>
      </c>
      <c r="W24" s="55">
        <f t="shared" si="7"/>
        <v>0</v>
      </c>
      <c r="X24" s="55">
        <f t="shared" si="7"/>
        <v>0</v>
      </c>
      <c r="Y24" s="55">
        <f t="shared" si="7"/>
        <v>0</v>
      </c>
      <c r="Z24" s="55">
        <f t="shared" si="7"/>
        <v>0</v>
      </c>
      <c r="AA24" s="55">
        <f t="shared" si="7"/>
        <v>0</v>
      </c>
      <c r="AB24" s="55">
        <f t="shared" si="7"/>
        <v>0</v>
      </c>
      <c r="AC24" s="55">
        <f t="shared" si="7"/>
        <v>0</v>
      </c>
      <c r="AD24" s="55">
        <f t="shared" si="7"/>
        <v>0</v>
      </c>
      <c r="AE24" s="55">
        <f t="shared" si="7"/>
        <v>0</v>
      </c>
      <c r="AF24" s="55">
        <f t="shared" si="7"/>
        <v>0</v>
      </c>
      <c r="AG24" s="55">
        <f t="shared" si="7"/>
        <v>0</v>
      </c>
      <c r="AH24" s="55">
        <f t="shared" si="7"/>
        <v>0</v>
      </c>
      <c r="AI24" s="55">
        <f t="shared" si="7"/>
        <v>0</v>
      </c>
      <c r="AJ24" s="55">
        <f t="shared" si="7"/>
        <v>0</v>
      </c>
      <c r="AK24" s="55">
        <f t="shared" si="7"/>
        <v>0</v>
      </c>
      <c r="AL24" s="55">
        <f t="shared" si="7"/>
        <v>0</v>
      </c>
      <c r="AM24" s="55">
        <f t="shared" si="7"/>
        <v>0</v>
      </c>
    </row>
    <row r="25" spans="1:39" ht="12" customHeight="1">
      <c r="A25" s="48" t="s">
        <v>41</v>
      </c>
      <c r="B25" s="49"/>
      <c r="C25" s="56"/>
      <c r="D25" s="56">
        <f t="shared" ref="D25:AM25" si="8">SUM(D19:D24)</f>
        <v>0</v>
      </c>
      <c r="E25" s="56">
        <f t="shared" si="8"/>
        <v>0</v>
      </c>
      <c r="F25" s="56">
        <f t="shared" si="8"/>
        <v>0</v>
      </c>
      <c r="G25" s="56">
        <f t="shared" si="8"/>
        <v>0</v>
      </c>
      <c r="H25" s="56">
        <f t="shared" si="8"/>
        <v>0</v>
      </c>
      <c r="I25" s="56">
        <f t="shared" si="8"/>
        <v>0</v>
      </c>
      <c r="J25" s="56">
        <f t="shared" si="8"/>
        <v>24000</v>
      </c>
      <c r="K25" s="56">
        <f t="shared" si="8"/>
        <v>0</v>
      </c>
      <c r="L25" s="56">
        <f t="shared" si="8"/>
        <v>24000</v>
      </c>
      <c r="M25" s="56">
        <f t="shared" si="8"/>
        <v>0</v>
      </c>
      <c r="N25" s="56">
        <f t="shared" si="8"/>
        <v>24000</v>
      </c>
      <c r="O25" s="56">
        <f t="shared" si="8"/>
        <v>0</v>
      </c>
      <c r="P25" s="56">
        <f t="shared" si="8"/>
        <v>24000</v>
      </c>
      <c r="Q25" s="56">
        <f t="shared" si="8"/>
        <v>0</v>
      </c>
      <c r="R25" s="56">
        <f t="shared" si="8"/>
        <v>24000</v>
      </c>
      <c r="S25" s="56">
        <f t="shared" si="8"/>
        <v>0</v>
      </c>
      <c r="T25" s="56">
        <f t="shared" si="8"/>
        <v>24000</v>
      </c>
      <c r="U25" s="56">
        <f t="shared" si="8"/>
        <v>0</v>
      </c>
      <c r="V25" s="56">
        <f t="shared" si="8"/>
        <v>24000</v>
      </c>
      <c r="W25" s="56">
        <f t="shared" si="8"/>
        <v>0</v>
      </c>
      <c r="X25" s="56">
        <f t="shared" si="8"/>
        <v>24000</v>
      </c>
      <c r="Y25" s="56">
        <f t="shared" si="8"/>
        <v>0</v>
      </c>
      <c r="Z25" s="56">
        <f t="shared" si="8"/>
        <v>24000</v>
      </c>
      <c r="AA25" s="56">
        <f t="shared" si="8"/>
        <v>0</v>
      </c>
      <c r="AB25" s="56">
        <f t="shared" si="8"/>
        <v>24000</v>
      </c>
      <c r="AC25" s="56">
        <f t="shared" si="8"/>
        <v>48000</v>
      </c>
      <c r="AD25" s="56">
        <f t="shared" si="8"/>
        <v>24000</v>
      </c>
      <c r="AE25" s="56">
        <f t="shared" si="8"/>
        <v>48000</v>
      </c>
      <c r="AF25" s="56">
        <f t="shared" si="8"/>
        <v>24000</v>
      </c>
      <c r="AG25" s="56">
        <f t="shared" si="8"/>
        <v>24000</v>
      </c>
      <c r="AH25" s="56">
        <f t="shared" si="8"/>
        <v>24000</v>
      </c>
      <c r="AI25" s="56">
        <f t="shared" si="8"/>
        <v>48000</v>
      </c>
      <c r="AJ25" s="56">
        <f t="shared" si="8"/>
        <v>24000</v>
      </c>
      <c r="AK25" s="56">
        <f t="shared" si="8"/>
        <v>24000</v>
      </c>
      <c r="AL25" s="56">
        <f t="shared" si="8"/>
        <v>24000</v>
      </c>
      <c r="AM25" s="56">
        <f t="shared" si="8"/>
        <v>24000</v>
      </c>
    </row>
    <row r="26" spans="1:39" ht="15.75" customHeight="1"/>
    <row r="27" spans="1:39" ht="12" customHeight="1">
      <c r="A27" s="41" t="s">
        <v>42</v>
      </c>
      <c r="B27" s="51"/>
      <c r="C27" s="42"/>
      <c r="D27" s="37"/>
      <c r="E27" s="37"/>
      <c r="F27" s="37"/>
      <c r="G27" s="37"/>
      <c r="H27" s="43"/>
      <c r="I27" s="43"/>
      <c r="J27" s="43"/>
      <c r="K27" s="43"/>
      <c r="L27" s="37"/>
      <c r="M27" s="43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43"/>
      <c r="Y27" s="43"/>
      <c r="Z27" s="43"/>
      <c r="AA27" s="43"/>
      <c r="AB27" s="37"/>
      <c r="AC27" s="37"/>
      <c r="AD27" s="37"/>
      <c r="AE27" s="37"/>
      <c r="AF27" s="37"/>
      <c r="AG27" s="37"/>
      <c r="AH27" s="37"/>
      <c r="AI27" s="37"/>
      <c r="AJ27" s="43"/>
      <c r="AK27" s="43"/>
      <c r="AL27" s="43"/>
      <c r="AM27" s="43"/>
    </row>
    <row r="28" spans="1:39" ht="15.75" customHeight="1"/>
    <row r="29" spans="1:39" ht="12" customHeight="1" outlineLevel="1">
      <c r="A29" s="37" t="s">
        <v>43</v>
      </c>
      <c r="B29" s="38"/>
      <c r="C29" s="54"/>
      <c r="D29" s="47">
        <v>150000</v>
      </c>
      <c r="E29" s="47"/>
      <c r="F29" s="46"/>
      <c r="G29" s="47">
        <v>0</v>
      </c>
      <c r="H29" s="47"/>
      <c r="I29" s="47"/>
      <c r="J29" s="46"/>
      <c r="K29" s="47"/>
      <c r="L29" s="46"/>
      <c r="M29" s="47"/>
      <c r="N29" s="47"/>
      <c r="O29" s="47"/>
      <c r="P29" s="47">
        <v>100000</v>
      </c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>
        <v>50000</v>
      </c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</row>
    <row r="30" spans="1:39" ht="12" customHeight="1" outlineLevel="1">
      <c r="A30" s="37" t="s">
        <v>44</v>
      </c>
      <c r="B30" s="38"/>
      <c r="C30" s="54"/>
      <c r="D30" s="47">
        <v>0</v>
      </c>
      <c r="E30" s="47"/>
      <c r="F30" s="47"/>
      <c r="G30" s="47">
        <v>0</v>
      </c>
      <c r="H30" s="47"/>
      <c r="I30" s="47"/>
      <c r="J30" s="47"/>
      <c r="K30" s="47"/>
      <c r="L30" s="47"/>
      <c r="M30" s="47"/>
      <c r="N30" s="47"/>
      <c r="O30" s="47"/>
      <c r="P30" s="47">
        <v>0</v>
      </c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>
        <v>0</v>
      </c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</row>
    <row r="31" spans="1:39" ht="12" customHeight="1" outlineLevel="1">
      <c r="A31" s="37" t="s">
        <v>45</v>
      </c>
      <c r="B31" s="38"/>
      <c r="C31" s="54"/>
      <c r="D31" s="46">
        <v>0</v>
      </c>
      <c r="E31" s="47"/>
      <c r="F31" s="47"/>
      <c r="G31" s="47">
        <v>50000</v>
      </c>
      <c r="H31" s="46"/>
      <c r="I31" s="47"/>
      <c r="J31" s="47"/>
      <c r="K31" s="47"/>
      <c r="L31" s="47"/>
      <c r="M31" s="47"/>
      <c r="N31" s="47"/>
      <c r="O31" s="46"/>
      <c r="P31" s="47">
        <v>0</v>
      </c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>
        <v>0</v>
      </c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</row>
    <row r="32" spans="1:39" ht="12" customHeight="1">
      <c r="A32" s="48" t="s">
        <v>41</v>
      </c>
      <c r="B32" s="49"/>
      <c r="C32" s="56"/>
      <c r="D32" s="56">
        <f t="shared" ref="D32:AM32" si="9">SUM(D26:D31)</f>
        <v>150000</v>
      </c>
      <c r="E32" s="56">
        <f t="shared" si="9"/>
        <v>0</v>
      </c>
      <c r="F32" s="56">
        <f t="shared" si="9"/>
        <v>0</v>
      </c>
      <c r="G32" s="56">
        <f t="shared" si="9"/>
        <v>50000</v>
      </c>
      <c r="H32" s="56">
        <f t="shared" si="9"/>
        <v>0</v>
      </c>
      <c r="I32" s="56">
        <f t="shared" si="9"/>
        <v>0</v>
      </c>
      <c r="J32" s="56">
        <f t="shared" si="9"/>
        <v>0</v>
      </c>
      <c r="K32" s="56">
        <f t="shared" si="9"/>
        <v>0</v>
      </c>
      <c r="L32" s="56">
        <f t="shared" si="9"/>
        <v>0</v>
      </c>
      <c r="M32" s="56">
        <f t="shared" si="9"/>
        <v>0</v>
      </c>
      <c r="N32" s="56">
        <f t="shared" si="9"/>
        <v>0</v>
      </c>
      <c r="O32" s="56">
        <f t="shared" si="9"/>
        <v>0</v>
      </c>
      <c r="P32" s="56">
        <f t="shared" si="9"/>
        <v>100000</v>
      </c>
      <c r="Q32" s="56">
        <f t="shared" si="9"/>
        <v>0</v>
      </c>
      <c r="R32" s="56">
        <f t="shared" si="9"/>
        <v>0</v>
      </c>
      <c r="S32" s="56">
        <f t="shared" si="9"/>
        <v>0</v>
      </c>
      <c r="T32" s="56">
        <f t="shared" si="9"/>
        <v>0</v>
      </c>
      <c r="U32" s="56">
        <f t="shared" si="9"/>
        <v>0</v>
      </c>
      <c r="V32" s="56">
        <f t="shared" si="9"/>
        <v>0</v>
      </c>
      <c r="W32" s="56">
        <f t="shared" si="9"/>
        <v>0</v>
      </c>
      <c r="X32" s="56">
        <f t="shared" si="9"/>
        <v>0</v>
      </c>
      <c r="Y32" s="56">
        <f t="shared" si="9"/>
        <v>0</v>
      </c>
      <c r="Z32" s="56">
        <f t="shared" si="9"/>
        <v>0</v>
      </c>
      <c r="AA32" s="56">
        <f t="shared" si="9"/>
        <v>0</v>
      </c>
      <c r="AB32" s="56">
        <f t="shared" si="9"/>
        <v>50000</v>
      </c>
      <c r="AC32" s="56">
        <f t="shared" si="9"/>
        <v>0</v>
      </c>
      <c r="AD32" s="56">
        <f t="shared" si="9"/>
        <v>0</v>
      </c>
      <c r="AE32" s="56">
        <f t="shared" si="9"/>
        <v>0</v>
      </c>
      <c r="AF32" s="56">
        <f t="shared" si="9"/>
        <v>0</v>
      </c>
      <c r="AG32" s="56">
        <f t="shared" si="9"/>
        <v>0</v>
      </c>
      <c r="AH32" s="56">
        <f t="shared" si="9"/>
        <v>0</v>
      </c>
      <c r="AI32" s="56">
        <f t="shared" si="9"/>
        <v>0</v>
      </c>
      <c r="AJ32" s="56">
        <f t="shared" si="9"/>
        <v>0</v>
      </c>
      <c r="AK32" s="56">
        <f t="shared" si="9"/>
        <v>0</v>
      </c>
      <c r="AL32" s="56">
        <f t="shared" si="9"/>
        <v>0</v>
      </c>
      <c r="AM32" s="56">
        <f t="shared" si="9"/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9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98"/>
  <sheetViews>
    <sheetView topLeftCell="A55" workbookViewId="0">
      <selection activeCell="Q10" sqref="Q9:AC10"/>
    </sheetView>
  </sheetViews>
  <sheetFormatPr defaultColWidth="11.19921875" defaultRowHeight="15" customHeight="1" outlineLevelRow="1"/>
  <cols>
    <col min="1" max="1" width="31.296875" customWidth="1"/>
    <col min="2" max="2" width="10.09765625" customWidth="1"/>
    <col min="3" max="18" width="12" customWidth="1"/>
    <col min="19" max="19" width="14.3984375" customWidth="1"/>
    <col min="20" max="41" width="12" customWidth="1"/>
  </cols>
  <sheetData>
    <row r="1" spans="1:42" ht="24.75" customHeight="1">
      <c r="A1" s="1" t="s">
        <v>0</v>
      </c>
    </row>
    <row r="2" spans="1:42" ht="15.75" customHeight="1">
      <c r="D2" s="57"/>
      <c r="E2" s="58"/>
    </row>
    <row r="3" spans="1:42" ht="15.75" customHeight="1">
      <c r="A3" s="1" t="s">
        <v>1</v>
      </c>
    </row>
    <row r="4" spans="1:42" ht="15.75" customHeight="1">
      <c r="A4" s="2"/>
      <c r="T4" s="3"/>
      <c r="U4" s="3"/>
      <c r="V4" s="3"/>
      <c r="W4" s="3"/>
    </row>
    <row r="5" spans="1:42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spans="1:42" ht="15.75" customHeight="1">
      <c r="A6" s="59" t="s">
        <v>46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spans="1:42" ht="15.75" customHeight="1">
      <c r="A7" s="60" t="s">
        <v>47</v>
      </c>
      <c r="B7" s="60"/>
      <c r="C7" s="60"/>
      <c r="D7" s="60"/>
      <c r="E7" s="60"/>
      <c r="F7" s="40">
        <f>'Inputs - Sales &amp; Investment'!D5</f>
        <v>45658</v>
      </c>
      <c r="G7" s="40">
        <f>'Inputs - Sales &amp; Investment'!E5</f>
        <v>45689</v>
      </c>
      <c r="H7" s="40">
        <f>'Inputs - Sales &amp; Investment'!F5</f>
        <v>45717</v>
      </c>
      <c r="I7" s="40">
        <f>'Inputs - Sales &amp; Investment'!G5</f>
        <v>45748</v>
      </c>
      <c r="J7" s="40">
        <f>'Inputs - Sales &amp; Investment'!H5</f>
        <v>45778</v>
      </c>
      <c r="K7" s="40">
        <f>'Inputs - Sales &amp; Investment'!I5</f>
        <v>45809</v>
      </c>
      <c r="L7" s="40">
        <f>'Inputs - Sales &amp; Investment'!J5</f>
        <v>45839</v>
      </c>
      <c r="M7" s="40">
        <f>'Inputs - Sales &amp; Investment'!K5</f>
        <v>45870</v>
      </c>
      <c r="N7" s="40">
        <f>'Inputs - Sales &amp; Investment'!L5</f>
        <v>45901</v>
      </c>
      <c r="O7" s="40">
        <f>'Inputs - Sales &amp; Investment'!M5</f>
        <v>45931</v>
      </c>
      <c r="P7" s="40">
        <f>'Inputs - Sales &amp; Investment'!N5</f>
        <v>45962</v>
      </c>
      <c r="Q7" s="40">
        <f>'Inputs - Sales &amp; Investment'!O5</f>
        <v>45992</v>
      </c>
      <c r="R7" s="40">
        <f>'Inputs - Sales &amp; Investment'!P5</f>
        <v>46023</v>
      </c>
      <c r="S7" s="40">
        <f>'Inputs - Sales &amp; Investment'!Q5</f>
        <v>46054</v>
      </c>
      <c r="T7" s="40">
        <f>'Inputs - Sales &amp; Investment'!R5</f>
        <v>46082</v>
      </c>
      <c r="U7" s="40">
        <f>'Inputs - Sales &amp; Investment'!S5</f>
        <v>46113</v>
      </c>
      <c r="V7" s="40">
        <f>'Inputs - Sales &amp; Investment'!T5</f>
        <v>46143</v>
      </c>
      <c r="W7" s="40">
        <f>'Inputs - Sales &amp; Investment'!U5</f>
        <v>46174</v>
      </c>
      <c r="X7" s="40">
        <f>'Inputs - Sales &amp; Investment'!V5</f>
        <v>46204</v>
      </c>
      <c r="Y7" s="40">
        <f>'Inputs - Sales &amp; Investment'!W5</f>
        <v>46235</v>
      </c>
      <c r="Z7" s="40">
        <f>'Inputs - Sales &amp; Investment'!X5</f>
        <v>46266</v>
      </c>
      <c r="AA7" s="40">
        <f>'Inputs - Sales &amp; Investment'!Y5</f>
        <v>46296</v>
      </c>
      <c r="AB7" s="40">
        <f>'Inputs - Sales &amp; Investment'!Z5</f>
        <v>46327</v>
      </c>
      <c r="AC7" s="40">
        <f>'Inputs - Sales &amp; Investment'!AA5</f>
        <v>46357</v>
      </c>
      <c r="AD7" s="40">
        <f>'Inputs - Sales &amp; Investment'!AB5</f>
        <v>46388</v>
      </c>
      <c r="AE7" s="40">
        <f>'Inputs - Sales &amp; Investment'!AC5</f>
        <v>46419</v>
      </c>
      <c r="AF7" s="40">
        <f>'Inputs - Sales &amp; Investment'!AD5</f>
        <v>46447</v>
      </c>
      <c r="AG7" s="40">
        <f>'Inputs - Sales &amp; Investment'!AE5</f>
        <v>46478</v>
      </c>
      <c r="AH7" s="40">
        <f>'Inputs - Sales &amp; Investment'!AF5</f>
        <v>46508</v>
      </c>
      <c r="AI7" s="40">
        <f>'Inputs - Sales &amp; Investment'!AG5</f>
        <v>46539</v>
      </c>
      <c r="AJ7" s="40">
        <f>'Inputs - Sales &amp; Investment'!AH5</f>
        <v>46569</v>
      </c>
      <c r="AK7" s="40">
        <f>'Inputs - Sales &amp; Investment'!AI5</f>
        <v>46600</v>
      </c>
      <c r="AL7" s="40">
        <f>'Inputs - Sales &amp; Investment'!AJ5</f>
        <v>46631</v>
      </c>
      <c r="AM7" s="40">
        <f>'Inputs - Sales &amp; Investment'!AK5</f>
        <v>46661</v>
      </c>
      <c r="AN7" s="40">
        <f>'Inputs - Sales &amp; Investment'!AL5</f>
        <v>46692</v>
      </c>
      <c r="AO7" s="40">
        <f>'Inputs - Sales &amp; Investment'!AM5</f>
        <v>46722</v>
      </c>
    </row>
    <row r="8" spans="1:42" ht="15.75" customHeight="1" outlineLevel="1">
      <c r="A8" s="61" t="s">
        <v>48</v>
      </c>
      <c r="B8" s="14" t="s">
        <v>49</v>
      </c>
      <c r="C8" s="14" t="s">
        <v>49</v>
      </c>
      <c r="D8" s="14" t="s">
        <v>49</v>
      </c>
      <c r="E8" s="14" t="s">
        <v>49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3">
        <v>500</v>
      </c>
      <c r="AE8" s="13">
        <v>500</v>
      </c>
      <c r="AF8" s="13">
        <v>500</v>
      </c>
      <c r="AG8" s="13">
        <v>500</v>
      </c>
      <c r="AH8" s="13">
        <v>500</v>
      </c>
      <c r="AI8" s="13">
        <v>500</v>
      </c>
      <c r="AJ8" s="13">
        <v>500</v>
      </c>
      <c r="AK8" s="13">
        <v>500</v>
      </c>
      <c r="AL8" s="13">
        <v>500</v>
      </c>
      <c r="AM8" s="13">
        <v>500</v>
      </c>
      <c r="AN8" s="13">
        <v>500</v>
      </c>
      <c r="AO8" s="13">
        <v>500</v>
      </c>
      <c r="AP8" s="13"/>
    </row>
    <row r="9" spans="1:42" ht="15.75" customHeight="1" outlineLevel="1">
      <c r="A9" s="61" t="s">
        <v>50</v>
      </c>
      <c r="B9" s="14" t="s">
        <v>49</v>
      </c>
      <c r="C9" s="14" t="s">
        <v>49</v>
      </c>
      <c r="D9" s="14" t="s">
        <v>49</v>
      </c>
      <c r="E9" s="14" t="s">
        <v>49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100</v>
      </c>
      <c r="AE9" s="13">
        <v>100</v>
      </c>
      <c r="AF9" s="13">
        <v>100</v>
      </c>
      <c r="AG9" s="13">
        <v>100</v>
      </c>
      <c r="AH9" s="13">
        <v>100</v>
      </c>
      <c r="AI9" s="13">
        <v>100</v>
      </c>
      <c r="AJ9" s="13">
        <v>100</v>
      </c>
      <c r="AK9" s="13">
        <v>100</v>
      </c>
      <c r="AL9" s="13">
        <v>100</v>
      </c>
      <c r="AM9" s="13">
        <v>100</v>
      </c>
      <c r="AN9" s="13">
        <v>100</v>
      </c>
      <c r="AO9" s="13">
        <v>100</v>
      </c>
    </row>
    <row r="10" spans="1:42" ht="15.75" customHeight="1" outlineLevel="1">
      <c r="A10" s="61" t="s">
        <v>51</v>
      </c>
      <c r="B10" s="14" t="s">
        <v>49</v>
      </c>
      <c r="C10" s="14" t="s">
        <v>49</v>
      </c>
      <c r="D10" s="14" t="s">
        <v>49</v>
      </c>
      <c r="E10" s="14" t="s">
        <v>49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50</v>
      </c>
      <c r="AE10" s="13">
        <v>50</v>
      </c>
      <c r="AF10" s="13">
        <v>50</v>
      </c>
      <c r="AG10" s="13">
        <v>50</v>
      </c>
      <c r="AH10" s="13">
        <v>50</v>
      </c>
      <c r="AI10" s="13">
        <v>50</v>
      </c>
      <c r="AJ10" s="13">
        <v>50</v>
      </c>
      <c r="AK10" s="13">
        <v>50</v>
      </c>
      <c r="AL10" s="13">
        <v>50</v>
      </c>
      <c r="AM10" s="13">
        <v>50</v>
      </c>
      <c r="AN10" s="13">
        <v>50</v>
      </c>
      <c r="AO10" s="13">
        <v>50</v>
      </c>
    </row>
    <row r="11" spans="1:42" ht="15.75" customHeight="1" outlineLevel="1">
      <c r="A11" s="61" t="s">
        <v>52</v>
      </c>
      <c r="B11" s="14" t="s">
        <v>49</v>
      </c>
      <c r="C11" s="14" t="s">
        <v>49</v>
      </c>
      <c r="D11" s="14" t="s">
        <v>49</v>
      </c>
      <c r="E11" s="14" t="s">
        <v>49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62">
        <v>50</v>
      </c>
      <c r="S11" s="62">
        <v>50</v>
      </c>
      <c r="T11" s="62">
        <v>50</v>
      </c>
      <c r="U11" s="62">
        <v>50</v>
      </c>
      <c r="V11" s="62">
        <v>50</v>
      </c>
      <c r="W11" s="62">
        <v>50</v>
      </c>
      <c r="X11" s="62">
        <v>50</v>
      </c>
      <c r="Y11" s="62">
        <v>50</v>
      </c>
      <c r="Z11" s="62">
        <v>50</v>
      </c>
      <c r="AA11" s="62">
        <v>50</v>
      </c>
      <c r="AB11" s="62">
        <v>50</v>
      </c>
      <c r="AC11" s="62">
        <v>50</v>
      </c>
      <c r="AD11" s="62">
        <v>100</v>
      </c>
      <c r="AE11" s="62">
        <v>100</v>
      </c>
      <c r="AF11" s="62">
        <v>100</v>
      </c>
      <c r="AG11" s="62">
        <v>100</v>
      </c>
      <c r="AH11" s="62">
        <v>100</v>
      </c>
      <c r="AI11" s="62">
        <v>100</v>
      </c>
      <c r="AJ11" s="62">
        <v>100</v>
      </c>
      <c r="AK11" s="62">
        <v>100</v>
      </c>
      <c r="AL11" s="62">
        <v>100</v>
      </c>
      <c r="AM11" s="62">
        <v>100</v>
      </c>
      <c r="AN11" s="62">
        <v>100</v>
      </c>
      <c r="AO11" s="62">
        <v>100</v>
      </c>
    </row>
    <row r="12" spans="1:42" ht="15.75" customHeight="1" outlineLevel="1">
      <c r="A12" s="61" t="s">
        <v>53</v>
      </c>
      <c r="B12" s="14" t="s">
        <v>49</v>
      </c>
      <c r="C12" s="14" t="s">
        <v>49</v>
      </c>
      <c r="D12" s="14" t="s">
        <v>49</v>
      </c>
      <c r="E12" s="14" t="s">
        <v>49</v>
      </c>
      <c r="F12" s="62">
        <v>25</v>
      </c>
      <c r="G12" s="62">
        <v>25</v>
      </c>
      <c r="H12" s="62">
        <v>25</v>
      </c>
      <c r="I12" s="62">
        <v>25</v>
      </c>
      <c r="J12" s="62">
        <v>25</v>
      </c>
      <c r="K12" s="62">
        <v>25</v>
      </c>
      <c r="L12" s="62">
        <v>25</v>
      </c>
      <c r="M12" s="62">
        <v>25</v>
      </c>
      <c r="N12" s="62">
        <v>25</v>
      </c>
      <c r="O12" s="62">
        <v>25</v>
      </c>
      <c r="P12" s="62">
        <v>25</v>
      </c>
      <c r="Q12" s="62">
        <v>25</v>
      </c>
      <c r="R12" s="62">
        <v>35</v>
      </c>
      <c r="S12" s="62">
        <v>35</v>
      </c>
      <c r="T12" s="62">
        <v>35</v>
      </c>
      <c r="U12" s="62">
        <v>35</v>
      </c>
      <c r="V12" s="62">
        <v>35</v>
      </c>
      <c r="W12" s="62">
        <v>35</v>
      </c>
      <c r="X12" s="62">
        <v>35</v>
      </c>
      <c r="Y12" s="62">
        <v>35</v>
      </c>
      <c r="Z12" s="62">
        <v>35</v>
      </c>
      <c r="AA12" s="62">
        <v>35</v>
      </c>
      <c r="AB12" s="62">
        <v>35</v>
      </c>
      <c r="AC12" s="62">
        <v>35</v>
      </c>
      <c r="AD12" s="62">
        <v>50</v>
      </c>
      <c r="AE12" s="62">
        <v>50</v>
      </c>
      <c r="AF12" s="62">
        <v>50</v>
      </c>
      <c r="AG12" s="62">
        <v>50</v>
      </c>
      <c r="AH12" s="62">
        <v>50</v>
      </c>
      <c r="AI12" s="62">
        <v>50</v>
      </c>
      <c r="AJ12" s="62">
        <v>50</v>
      </c>
      <c r="AK12" s="62">
        <v>50</v>
      </c>
      <c r="AL12" s="62">
        <v>50</v>
      </c>
      <c r="AM12" s="62">
        <v>50</v>
      </c>
      <c r="AN12" s="62">
        <v>50</v>
      </c>
      <c r="AO12" s="62">
        <v>50</v>
      </c>
    </row>
    <row r="13" spans="1:42" ht="15.75" customHeight="1" outlineLevel="1">
      <c r="A13" s="61" t="s">
        <v>54</v>
      </c>
      <c r="B13" s="14" t="s">
        <v>49</v>
      </c>
      <c r="C13" s="14" t="s">
        <v>49</v>
      </c>
      <c r="D13" s="14" t="s">
        <v>49</v>
      </c>
      <c r="E13" s="14" t="s">
        <v>49</v>
      </c>
      <c r="F13" s="12">
        <v>250</v>
      </c>
      <c r="G13" s="12">
        <v>250</v>
      </c>
      <c r="H13" s="12">
        <v>250</v>
      </c>
      <c r="I13" s="12">
        <v>250</v>
      </c>
      <c r="J13" s="12">
        <v>250</v>
      </c>
      <c r="K13" s="12">
        <v>250</v>
      </c>
      <c r="L13" s="12">
        <v>250</v>
      </c>
      <c r="M13" s="12">
        <v>250</v>
      </c>
      <c r="N13" s="12">
        <v>250</v>
      </c>
      <c r="O13" s="12">
        <v>250</v>
      </c>
      <c r="P13" s="12">
        <v>250</v>
      </c>
      <c r="Q13" s="12">
        <v>250</v>
      </c>
      <c r="R13" s="13">
        <v>400</v>
      </c>
      <c r="S13" s="13">
        <v>400</v>
      </c>
      <c r="T13" s="13">
        <v>400</v>
      </c>
      <c r="U13" s="13">
        <v>400</v>
      </c>
      <c r="V13" s="13">
        <v>400</v>
      </c>
      <c r="W13" s="13">
        <v>400</v>
      </c>
      <c r="X13" s="13">
        <v>400</v>
      </c>
      <c r="Y13" s="13">
        <v>400</v>
      </c>
      <c r="Z13" s="13">
        <v>400</v>
      </c>
      <c r="AA13" s="13">
        <v>400</v>
      </c>
      <c r="AB13" s="13">
        <v>400</v>
      </c>
      <c r="AC13" s="13">
        <v>400</v>
      </c>
      <c r="AD13" s="13">
        <v>600</v>
      </c>
      <c r="AE13" s="13">
        <v>600</v>
      </c>
      <c r="AF13" s="13">
        <v>600</v>
      </c>
      <c r="AG13" s="13">
        <v>600</v>
      </c>
      <c r="AH13" s="13">
        <v>600</v>
      </c>
      <c r="AI13" s="13">
        <v>600</v>
      </c>
      <c r="AJ13" s="13">
        <v>600</v>
      </c>
      <c r="AK13" s="13">
        <v>600</v>
      </c>
      <c r="AL13" s="13">
        <v>600</v>
      </c>
      <c r="AM13" s="13">
        <v>600</v>
      </c>
      <c r="AN13" s="13">
        <v>600</v>
      </c>
      <c r="AO13" s="13">
        <v>600</v>
      </c>
    </row>
    <row r="14" spans="1:42" ht="15.75" customHeight="1" outlineLevel="1">
      <c r="A14" s="61" t="s">
        <v>55</v>
      </c>
      <c r="B14" s="14" t="s">
        <v>49</v>
      </c>
      <c r="C14" s="14" t="s">
        <v>49</v>
      </c>
      <c r="D14" s="14" t="s">
        <v>49</v>
      </c>
      <c r="E14" s="14" t="s">
        <v>49</v>
      </c>
      <c r="F14" s="13">
        <v>1000</v>
      </c>
      <c r="G14" s="13">
        <v>1000</v>
      </c>
      <c r="H14" s="13">
        <v>1000</v>
      </c>
      <c r="I14" s="13">
        <v>1000</v>
      </c>
      <c r="J14" s="13">
        <v>1000</v>
      </c>
      <c r="K14" s="13">
        <v>1000</v>
      </c>
      <c r="L14" s="13">
        <v>1000</v>
      </c>
      <c r="M14" s="13">
        <v>1000</v>
      </c>
      <c r="N14" s="13">
        <v>1000</v>
      </c>
      <c r="O14" s="13">
        <v>1000</v>
      </c>
      <c r="P14" s="13">
        <v>1000</v>
      </c>
      <c r="Q14" s="13">
        <v>1000</v>
      </c>
      <c r="R14" s="13">
        <v>500</v>
      </c>
      <c r="S14" s="13">
        <v>500</v>
      </c>
      <c r="T14" s="13">
        <v>500</v>
      </c>
      <c r="U14" s="13">
        <v>500</v>
      </c>
      <c r="V14" s="13">
        <v>500</v>
      </c>
      <c r="W14" s="13">
        <v>500</v>
      </c>
      <c r="X14" s="13">
        <v>500</v>
      </c>
      <c r="Y14" s="13">
        <v>500</v>
      </c>
      <c r="Z14" s="13">
        <v>500</v>
      </c>
      <c r="AA14" s="13">
        <v>500</v>
      </c>
      <c r="AB14" s="13">
        <v>500</v>
      </c>
      <c r="AC14" s="13">
        <v>500</v>
      </c>
      <c r="AD14" s="150">
        <v>700</v>
      </c>
      <c r="AE14" s="13">
        <v>700</v>
      </c>
      <c r="AF14" s="13">
        <v>700</v>
      </c>
      <c r="AG14" s="13">
        <v>700</v>
      </c>
      <c r="AH14" s="13">
        <v>700</v>
      </c>
      <c r="AI14" s="13">
        <v>700</v>
      </c>
      <c r="AJ14" s="13">
        <v>700</v>
      </c>
      <c r="AK14" s="13">
        <v>700</v>
      </c>
      <c r="AL14" s="13">
        <v>700</v>
      </c>
      <c r="AM14" s="13">
        <v>700</v>
      </c>
      <c r="AN14" s="13">
        <v>700</v>
      </c>
      <c r="AO14" s="13">
        <v>700</v>
      </c>
    </row>
    <row r="15" spans="1:42" ht="15.75" customHeight="1" outlineLevel="1">
      <c r="A15" s="63" t="s">
        <v>56</v>
      </c>
      <c r="B15" s="14"/>
      <c r="C15" s="14"/>
      <c r="D15" s="14" t="s">
        <v>49</v>
      </c>
      <c r="E15" s="14" t="s">
        <v>49</v>
      </c>
      <c r="F15" s="13">
        <v>50</v>
      </c>
      <c r="G15" s="13">
        <v>50</v>
      </c>
      <c r="H15" s="13">
        <v>50</v>
      </c>
      <c r="I15" s="13">
        <v>50</v>
      </c>
      <c r="J15" s="13">
        <v>50</v>
      </c>
      <c r="K15" s="13">
        <v>50</v>
      </c>
      <c r="L15" s="13">
        <v>50</v>
      </c>
      <c r="M15" s="13">
        <v>50</v>
      </c>
      <c r="N15" s="13">
        <v>50</v>
      </c>
      <c r="O15" s="13">
        <v>50</v>
      </c>
      <c r="P15" s="13">
        <v>50</v>
      </c>
      <c r="Q15" s="13">
        <v>50</v>
      </c>
      <c r="R15" s="13">
        <v>100</v>
      </c>
      <c r="S15" s="13">
        <v>100</v>
      </c>
      <c r="T15" s="13">
        <v>100</v>
      </c>
      <c r="U15" s="13">
        <v>100</v>
      </c>
      <c r="V15" s="13">
        <v>100</v>
      </c>
      <c r="W15" s="13">
        <v>100</v>
      </c>
      <c r="X15" s="13">
        <v>100</v>
      </c>
      <c r="Y15" s="13">
        <v>100</v>
      </c>
      <c r="Z15" s="13">
        <v>100</v>
      </c>
      <c r="AA15" s="13">
        <v>100</v>
      </c>
      <c r="AB15" s="13">
        <v>100</v>
      </c>
      <c r="AC15" s="13">
        <v>100</v>
      </c>
      <c r="AD15" s="150">
        <v>150</v>
      </c>
      <c r="AE15" s="13">
        <v>150</v>
      </c>
      <c r="AF15" s="13">
        <v>150</v>
      </c>
      <c r="AG15" s="13">
        <v>150</v>
      </c>
      <c r="AH15" s="13">
        <v>150</v>
      </c>
      <c r="AI15" s="13">
        <v>150</v>
      </c>
      <c r="AJ15" s="13">
        <v>150</v>
      </c>
      <c r="AK15" s="13">
        <v>150</v>
      </c>
      <c r="AL15" s="13">
        <v>150</v>
      </c>
      <c r="AM15" s="13">
        <v>150</v>
      </c>
      <c r="AN15" s="13">
        <v>150</v>
      </c>
      <c r="AO15" s="13">
        <v>150</v>
      </c>
    </row>
    <row r="16" spans="1:42" ht="15.75" customHeight="1" outlineLevel="1">
      <c r="A16" s="64" t="s">
        <v>57</v>
      </c>
      <c r="B16" s="14" t="s">
        <v>49</v>
      </c>
      <c r="C16" s="14" t="s">
        <v>49</v>
      </c>
      <c r="D16" s="14" t="s">
        <v>49</v>
      </c>
      <c r="E16" s="14" t="s">
        <v>49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100</v>
      </c>
      <c r="S16" s="62">
        <v>100</v>
      </c>
      <c r="T16" s="62">
        <v>100</v>
      </c>
      <c r="U16" s="62">
        <v>100</v>
      </c>
      <c r="V16" s="62">
        <v>100</v>
      </c>
      <c r="W16" s="62">
        <v>100</v>
      </c>
      <c r="X16" s="62">
        <v>100</v>
      </c>
      <c r="Y16" s="62">
        <v>100</v>
      </c>
      <c r="Z16" s="62">
        <v>100</v>
      </c>
      <c r="AA16" s="62">
        <v>100</v>
      </c>
      <c r="AB16" s="62">
        <v>100</v>
      </c>
      <c r="AC16" s="62">
        <v>100</v>
      </c>
      <c r="AD16" s="62">
        <v>150</v>
      </c>
      <c r="AE16" s="62">
        <v>150</v>
      </c>
      <c r="AF16" s="62">
        <v>150</v>
      </c>
      <c r="AG16" s="62">
        <v>150</v>
      </c>
      <c r="AH16" s="62">
        <v>150</v>
      </c>
      <c r="AI16" s="62">
        <v>150</v>
      </c>
      <c r="AJ16" s="62">
        <v>150</v>
      </c>
      <c r="AK16" s="62">
        <v>150</v>
      </c>
      <c r="AL16" s="62">
        <v>150</v>
      </c>
      <c r="AM16" s="62">
        <v>150</v>
      </c>
      <c r="AN16" s="62">
        <v>150</v>
      </c>
      <c r="AO16" s="62">
        <v>150</v>
      </c>
    </row>
    <row r="17" spans="1:42" ht="15.75" customHeight="1" outlineLevel="1">
      <c r="A17" s="64" t="s">
        <v>58</v>
      </c>
      <c r="B17" s="14" t="s">
        <v>49</v>
      </c>
      <c r="C17" s="14" t="s">
        <v>49</v>
      </c>
      <c r="D17" s="14" t="s">
        <v>49</v>
      </c>
      <c r="E17" s="14" t="s">
        <v>49</v>
      </c>
      <c r="F17" s="13">
        <v>100</v>
      </c>
      <c r="G17" s="13">
        <v>100</v>
      </c>
      <c r="H17" s="13">
        <v>100</v>
      </c>
      <c r="I17" s="13">
        <v>100</v>
      </c>
      <c r="J17" s="13">
        <v>100</v>
      </c>
      <c r="K17" s="13">
        <v>100</v>
      </c>
      <c r="L17" s="13">
        <v>100</v>
      </c>
      <c r="M17" s="13">
        <v>100</v>
      </c>
      <c r="N17" s="13">
        <v>100</v>
      </c>
      <c r="O17" s="13">
        <v>100</v>
      </c>
      <c r="P17" s="13">
        <v>100</v>
      </c>
      <c r="Q17" s="13">
        <v>100</v>
      </c>
      <c r="R17" s="13">
        <v>250</v>
      </c>
      <c r="S17" s="13">
        <v>250</v>
      </c>
      <c r="T17" s="13">
        <v>250</v>
      </c>
      <c r="U17" s="13">
        <v>250</v>
      </c>
      <c r="V17" s="13">
        <v>250</v>
      </c>
      <c r="W17" s="13">
        <v>250</v>
      </c>
      <c r="X17" s="13">
        <v>250</v>
      </c>
      <c r="Y17" s="13">
        <v>250</v>
      </c>
      <c r="Z17" s="13">
        <v>250</v>
      </c>
      <c r="AA17" s="13">
        <v>250</v>
      </c>
      <c r="AB17" s="13">
        <v>250</v>
      </c>
      <c r="AC17" s="13">
        <v>250</v>
      </c>
      <c r="AD17" s="13">
        <v>400</v>
      </c>
      <c r="AE17" s="13">
        <v>400</v>
      </c>
      <c r="AF17" s="13">
        <v>400</v>
      </c>
      <c r="AG17" s="13">
        <v>400</v>
      </c>
      <c r="AH17" s="13">
        <v>400</v>
      </c>
      <c r="AI17" s="13">
        <v>400</v>
      </c>
      <c r="AJ17" s="13">
        <v>400</v>
      </c>
      <c r="AK17" s="13">
        <v>400</v>
      </c>
      <c r="AL17" s="13">
        <v>400</v>
      </c>
      <c r="AM17" s="13">
        <v>400</v>
      </c>
      <c r="AN17" s="13">
        <v>400</v>
      </c>
      <c r="AO17" s="13">
        <v>400</v>
      </c>
      <c r="AP17" s="13"/>
    </row>
    <row r="18" spans="1:42" ht="15.75" customHeight="1" outlineLevel="1">
      <c r="A18" s="61" t="s">
        <v>59</v>
      </c>
      <c r="B18" s="14" t="s">
        <v>49</v>
      </c>
      <c r="C18" s="14" t="s">
        <v>49</v>
      </c>
      <c r="D18" s="14" t="s">
        <v>49</v>
      </c>
      <c r="E18" s="14" t="s">
        <v>49</v>
      </c>
      <c r="F18" s="12">
        <v>200</v>
      </c>
      <c r="G18" s="12">
        <v>200</v>
      </c>
      <c r="H18" s="12">
        <v>200</v>
      </c>
      <c r="I18" s="12">
        <v>200</v>
      </c>
      <c r="J18" s="12">
        <v>200</v>
      </c>
      <c r="K18" s="12">
        <v>200</v>
      </c>
      <c r="L18" s="12">
        <v>200</v>
      </c>
      <c r="M18" s="12">
        <v>200</v>
      </c>
      <c r="N18" s="12">
        <v>200</v>
      </c>
      <c r="O18" s="12">
        <v>200</v>
      </c>
      <c r="P18" s="12">
        <v>200</v>
      </c>
      <c r="Q18" s="12">
        <v>200</v>
      </c>
      <c r="R18" s="12">
        <v>300</v>
      </c>
      <c r="S18" s="12">
        <v>300</v>
      </c>
      <c r="T18" s="12">
        <v>300</v>
      </c>
      <c r="U18" s="12">
        <v>300</v>
      </c>
      <c r="V18" s="12">
        <v>300</v>
      </c>
      <c r="W18" s="12">
        <v>300</v>
      </c>
      <c r="X18" s="12">
        <v>300</v>
      </c>
      <c r="Y18" s="12">
        <v>300</v>
      </c>
      <c r="Z18" s="12">
        <v>300</v>
      </c>
      <c r="AA18" s="12">
        <v>300</v>
      </c>
      <c r="AB18" s="12">
        <v>300</v>
      </c>
      <c r="AC18" s="12">
        <v>300</v>
      </c>
      <c r="AD18" s="12">
        <v>400</v>
      </c>
      <c r="AE18" s="12">
        <v>400</v>
      </c>
      <c r="AF18" s="12">
        <v>400</v>
      </c>
      <c r="AG18" s="12">
        <v>400</v>
      </c>
      <c r="AH18" s="12">
        <v>400</v>
      </c>
      <c r="AI18" s="12">
        <v>400</v>
      </c>
      <c r="AJ18" s="12">
        <v>400</v>
      </c>
      <c r="AK18" s="12">
        <v>400</v>
      </c>
      <c r="AL18" s="12">
        <v>400</v>
      </c>
      <c r="AM18" s="12">
        <v>400</v>
      </c>
      <c r="AN18" s="12">
        <v>400</v>
      </c>
      <c r="AO18" s="12">
        <v>400</v>
      </c>
    </row>
    <row r="19" spans="1:42" ht="15.75" customHeight="1" outlineLevel="1">
      <c r="A19" s="61" t="s">
        <v>60</v>
      </c>
      <c r="B19" s="14" t="s">
        <v>49</v>
      </c>
      <c r="C19" s="14" t="s">
        <v>49</v>
      </c>
      <c r="D19" s="14" t="s">
        <v>49</v>
      </c>
      <c r="E19" s="14" t="s">
        <v>49</v>
      </c>
      <c r="F19" s="62">
        <v>100</v>
      </c>
      <c r="G19" s="62">
        <v>100</v>
      </c>
      <c r="H19" s="62">
        <v>100</v>
      </c>
      <c r="I19" s="62">
        <v>100</v>
      </c>
      <c r="J19" s="62">
        <v>100</v>
      </c>
      <c r="K19" s="62">
        <v>100</v>
      </c>
      <c r="L19" s="62">
        <v>100</v>
      </c>
      <c r="M19" s="62">
        <v>100</v>
      </c>
      <c r="N19" s="62">
        <v>100</v>
      </c>
      <c r="O19" s="62">
        <v>100</v>
      </c>
      <c r="P19" s="62">
        <v>100</v>
      </c>
      <c r="Q19" s="62">
        <v>100</v>
      </c>
      <c r="R19" s="62">
        <v>150</v>
      </c>
      <c r="S19" s="62">
        <v>150</v>
      </c>
      <c r="T19" s="62">
        <v>150</v>
      </c>
      <c r="U19" s="62">
        <v>150</v>
      </c>
      <c r="V19" s="62">
        <v>150</v>
      </c>
      <c r="W19" s="62">
        <v>150</v>
      </c>
      <c r="X19" s="62">
        <v>150</v>
      </c>
      <c r="Y19" s="62">
        <v>150</v>
      </c>
      <c r="Z19" s="62">
        <v>150</v>
      </c>
      <c r="AA19" s="62">
        <v>150</v>
      </c>
      <c r="AB19" s="62">
        <v>150</v>
      </c>
      <c r="AC19" s="62">
        <v>150</v>
      </c>
      <c r="AD19" s="62">
        <v>200</v>
      </c>
      <c r="AE19" s="62">
        <v>200</v>
      </c>
      <c r="AF19" s="62">
        <v>200</v>
      </c>
      <c r="AG19" s="62">
        <v>200</v>
      </c>
      <c r="AH19" s="62">
        <v>200</v>
      </c>
      <c r="AI19" s="62">
        <v>200</v>
      </c>
      <c r="AJ19" s="62">
        <v>200</v>
      </c>
      <c r="AK19" s="62">
        <v>200</v>
      </c>
      <c r="AL19" s="62">
        <v>200</v>
      </c>
      <c r="AM19" s="62">
        <v>200</v>
      </c>
      <c r="AN19" s="62">
        <v>200</v>
      </c>
      <c r="AO19" s="62">
        <v>200</v>
      </c>
    </row>
    <row r="20" spans="1:42" ht="15.75" customHeight="1" outlineLevel="1">
      <c r="A20" s="61" t="s">
        <v>61</v>
      </c>
      <c r="B20" s="14" t="s">
        <v>49</v>
      </c>
      <c r="C20" s="14" t="s">
        <v>49</v>
      </c>
      <c r="D20" s="14" t="s">
        <v>49</v>
      </c>
      <c r="E20" s="14" t="s">
        <v>49</v>
      </c>
      <c r="F20" s="65">
        <v>250</v>
      </c>
      <c r="G20" s="65">
        <v>250</v>
      </c>
      <c r="H20" s="65">
        <v>250</v>
      </c>
      <c r="I20" s="65">
        <v>250</v>
      </c>
      <c r="J20" s="65">
        <v>250</v>
      </c>
      <c r="K20" s="65">
        <v>250</v>
      </c>
      <c r="L20" s="65">
        <v>250</v>
      </c>
      <c r="M20" s="65">
        <v>250</v>
      </c>
      <c r="N20" s="65">
        <v>250</v>
      </c>
      <c r="O20" s="65">
        <v>250</v>
      </c>
      <c r="P20" s="65">
        <v>250</v>
      </c>
      <c r="Q20" s="65">
        <v>250</v>
      </c>
      <c r="R20" s="65">
        <v>500</v>
      </c>
      <c r="S20" s="65">
        <v>500</v>
      </c>
      <c r="T20" s="65">
        <v>500</v>
      </c>
      <c r="U20" s="65">
        <v>500</v>
      </c>
      <c r="V20" s="65">
        <v>500</v>
      </c>
      <c r="W20" s="65">
        <v>500</v>
      </c>
      <c r="X20" s="65">
        <v>500</v>
      </c>
      <c r="Y20" s="65">
        <v>500</v>
      </c>
      <c r="Z20" s="65">
        <v>500</v>
      </c>
      <c r="AA20" s="65">
        <v>500</v>
      </c>
      <c r="AB20" s="65">
        <v>500</v>
      </c>
      <c r="AC20" s="65">
        <v>500</v>
      </c>
      <c r="AD20" s="65">
        <v>900</v>
      </c>
      <c r="AE20" s="65">
        <v>900</v>
      </c>
      <c r="AF20" s="65">
        <v>900</v>
      </c>
      <c r="AG20" s="65">
        <v>900</v>
      </c>
      <c r="AH20" s="65">
        <v>900</v>
      </c>
      <c r="AI20" s="65">
        <v>900</v>
      </c>
      <c r="AJ20" s="65">
        <v>900</v>
      </c>
      <c r="AK20" s="65">
        <v>900</v>
      </c>
      <c r="AL20" s="65">
        <v>900</v>
      </c>
      <c r="AM20" s="65">
        <v>900</v>
      </c>
      <c r="AN20" s="65">
        <v>900</v>
      </c>
      <c r="AO20" s="65">
        <v>900</v>
      </c>
    </row>
    <row r="21" spans="1:42" ht="15.75" customHeight="1" outlineLevel="1">
      <c r="A21" s="61" t="s">
        <v>62</v>
      </c>
      <c r="B21" s="14" t="s">
        <v>49</v>
      </c>
      <c r="C21" s="14" t="s">
        <v>49</v>
      </c>
      <c r="D21" s="14" t="s">
        <v>49</v>
      </c>
      <c r="E21" s="14" t="s">
        <v>49</v>
      </c>
      <c r="F21" s="13">
        <v>50</v>
      </c>
      <c r="G21" s="13">
        <v>50</v>
      </c>
      <c r="H21" s="13">
        <v>50</v>
      </c>
      <c r="I21" s="13">
        <v>50</v>
      </c>
      <c r="J21" s="13">
        <v>50</v>
      </c>
      <c r="K21" s="13">
        <v>50</v>
      </c>
      <c r="L21" s="13">
        <v>50</v>
      </c>
      <c r="M21" s="13">
        <v>50</v>
      </c>
      <c r="N21" s="13">
        <v>50</v>
      </c>
      <c r="O21" s="13">
        <v>50</v>
      </c>
      <c r="P21" s="13">
        <v>50</v>
      </c>
      <c r="Q21" s="13">
        <v>50</v>
      </c>
      <c r="R21" s="13">
        <v>100</v>
      </c>
      <c r="S21" s="13">
        <v>100</v>
      </c>
      <c r="T21" s="13">
        <v>100</v>
      </c>
      <c r="U21" s="13">
        <v>100</v>
      </c>
      <c r="V21" s="13">
        <v>100</v>
      </c>
      <c r="W21" s="13">
        <v>100</v>
      </c>
      <c r="X21" s="13">
        <v>100</v>
      </c>
      <c r="Y21" s="13">
        <v>100</v>
      </c>
      <c r="Z21" s="13">
        <v>100</v>
      </c>
      <c r="AA21" s="13">
        <v>100</v>
      </c>
      <c r="AB21" s="13">
        <v>100</v>
      </c>
      <c r="AC21" s="13">
        <v>100</v>
      </c>
      <c r="AD21" s="13">
        <v>150</v>
      </c>
      <c r="AE21" s="13">
        <v>150</v>
      </c>
      <c r="AF21" s="13">
        <v>150</v>
      </c>
      <c r="AG21" s="13">
        <v>150</v>
      </c>
      <c r="AH21" s="13">
        <v>150</v>
      </c>
      <c r="AI21" s="13">
        <v>150</v>
      </c>
      <c r="AJ21" s="13">
        <v>150</v>
      </c>
      <c r="AK21" s="13">
        <v>150</v>
      </c>
      <c r="AL21" s="13">
        <v>150</v>
      </c>
      <c r="AM21" s="13">
        <v>150</v>
      </c>
      <c r="AN21" s="13">
        <v>150</v>
      </c>
      <c r="AO21" s="13">
        <v>150</v>
      </c>
    </row>
    <row r="22" spans="1:42" ht="15.75" customHeight="1" outlineLevel="1">
      <c r="A22" s="66" t="s">
        <v>63</v>
      </c>
      <c r="B22" s="14" t="s">
        <v>49</v>
      </c>
      <c r="C22" s="14" t="s">
        <v>49</v>
      </c>
      <c r="D22" s="14" t="s">
        <v>49</v>
      </c>
      <c r="E22" s="14" t="s">
        <v>49</v>
      </c>
      <c r="F22" s="13">
        <v>200</v>
      </c>
      <c r="G22" s="13">
        <v>200</v>
      </c>
      <c r="H22" s="13">
        <v>200</v>
      </c>
      <c r="I22" s="13">
        <v>200</v>
      </c>
      <c r="J22" s="13">
        <v>200</v>
      </c>
      <c r="K22" s="13">
        <v>200</v>
      </c>
      <c r="L22" s="13">
        <v>200</v>
      </c>
      <c r="M22" s="13">
        <v>200</v>
      </c>
      <c r="N22" s="13">
        <v>200</v>
      </c>
      <c r="O22" s="13">
        <v>200</v>
      </c>
      <c r="P22" s="13">
        <v>200</v>
      </c>
      <c r="Q22" s="13">
        <v>200</v>
      </c>
      <c r="R22" s="13">
        <v>350</v>
      </c>
      <c r="S22" s="13">
        <v>350</v>
      </c>
      <c r="T22" s="13">
        <v>350</v>
      </c>
      <c r="U22" s="13">
        <v>350</v>
      </c>
      <c r="V22" s="13">
        <v>350</v>
      </c>
      <c r="W22" s="13">
        <v>350</v>
      </c>
      <c r="X22" s="13">
        <v>350</v>
      </c>
      <c r="Y22" s="13">
        <v>350</v>
      </c>
      <c r="Z22" s="13">
        <v>350</v>
      </c>
      <c r="AA22" s="13">
        <v>350</v>
      </c>
      <c r="AB22" s="13">
        <v>350</v>
      </c>
      <c r="AC22" s="13">
        <v>350</v>
      </c>
      <c r="AD22" s="13">
        <v>500</v>
      </c>
      <c r="AE22" s="13">
        <v>500</v>
      </c>
      <c r="AF22" s="13">
        <v>500</v>
      </c>
      <c r="AG22" s="13">
        <v>500</v>
      </c>
      <c r="AH22" s="13">
        <v>500</v>
      </c>
      <c r="AI22" s="13">
        <v>500</v>
      </c>
      <c r="AJ22" s="13">
        <v>500</v>
      </c>
      <c r="AK22" s="13">
        <v>500</v>
      </c>
      <c r="AL22" s="13">
        <v>500</v>
      </c>
      <c r="AM22" s="13">
        <v>500</v>
      </c>
      <c r="AN22" s="13">
        <v>500</v>
      </c>
      <c r="AO22" s="13">
        <v>500</v>
      </c>
    </row>
    <row r="23" spans="1:42" ht="15.75" customHeight="1" outlineLevel="1">
      <c r="A23" s="67" t="s">
        <v>64</v>
      </c>
      <c r="B23" s="14" t="s">
        <v>49</v>
      </c>
      <c r="C23" s="14" t="s">
        <v>49</v>
      </c>
      <c r="D23" s="14" t="s">
        <v>49</v>
      </c>
      <c r="E23" s="14" t="s">
        <v>49</v>
      </c>
      <c r="F23" s="13">
        <v>1000</v>
      </c>
      <c r="G23" s="13">
        <v>1000</v>
      </c>
      <c r="H23" s="13">
        <v>1000</v>
      </c>
      <c r="I23" s="13">
        <v>1000</v>
      </c>
      <c r="J23" s="13">
        <v>1000</v>
      </c>
      <c r="K23" s="13">
        <v>1000</v>
      </c>
      <c r="L23" s="13">
        <v>1000</v>
      </c>
      <c r="M23" s="13">
        <v>1000</v>
      </c>
      <c r="N23" s="13">
        <v>1000</v>
      </c>
      <c r="O23" s="13">
        <v>1000</v>
      </c>
      <c r="P23" s="13">
        <v>1000</v>
      </c>
      <c r="Q23" s="13">
        <v>1000</v>
      </c>
      <c r="R23" s="13">
        <v>500</v>
      </c>
      <c r="S23" s="13">
        <v>500</v>
      </c>
      <c r="T23" s="13">
        <v>500</v>
      </c>
      <c r="U23" s="13">
        <v>500</v>
      </c>
      <c r="V23" s="13">
        <v>500</v>
      </c>
      <c r="W23" s="13">
        <v>500</v>
      </c>
      <c r="X23" s="13">
        <v>500</v>
      </c>
      <c r="Y23" s="13">
        <v>500</v>
      </c>
      <c r="Z23" s="13">
        <v>500</v>
      </c>
      <c r="AA23" s="13">
        <v>500</v>
      </c>
      <c r="AB23" s="13">
        <v>500</v>
      </c>
      <c r="AC23" s="13">
        <v>500</v>
      </c>
      <c r="AD23" s="13">
        <v>700</v>
      </c>
      <c r="AE23" s="13">
        <v>700</v>
      </c>
      <c r="AF23" s="13">
        <v>700</v>
      </c>
      <c r="AG23" s="13">
        <v>700</v>
      </c>
      <c r="AH23" s="13">
        <v>700</v>
      </c>
      <c r="AI23" s="13">
        <v>700</v>
      </c>
      <c r="AJ23" s="13">
        <v>700</v>
      </c>
      <c r="AK23" s="13">
        <v>700</v>
      </c>
      <c r="AL23" s="13">
        <v>700</v>
      </c>
      <c r="AM23" s="13">
        <v>700</v>
      </c>
      <c r="AN23" s="13">
        <v>700</v>
      </c>
      <c r="AO23" s="13">
        <v>700</v>
      </c>
    </row>
    <row r="24" spans="1:42" ht="15.75" customHeight="1" outlineLevel="1">
      <c r="A24" s="67" t="s">
        <v>64</v>
      </c>
      <c r="B24" s="14" t="s">
        <v>49</v>
      </c>
      <c r="C24" s="14" t="s">
        <v>49</v>
      </c>
      <c r="D24" s="14" t="s">
        <v>49</v>
      </c>
      <c r="E24" s="14" t="s">
        <v>49</v>
      </c>
      <c r="F24" s="13">
        <v>833</v>
      </c>
      <c r="G24" s="13">
        <v>833</v>
      </c>
      <c r="H24" s="13">
        <v>833</v>
      </c>
      <c r="I24" s="13">
        <v>833</v>
      </c>
      <c r="J24" s="13">
        <v>833</v>
      </c>
      <c r="K24" s="13">
        <v>833</v>
      </c>
      <c r="L24" s="13">
        <v>833</v>
      </c>
      <c r="M24" s="13">
        <v>833</v>
      </c>
      <c r="N24" s="13">
        <v>833</v>
      </c>
      <c r="O24" s="13">
        <v>833</v>
      </c>
      <c r="P24" s="13">
        <v>833</v>
      </c>
      <c r="Q24" s="13">
        <v>833</v>
      </c>
      <c r="R24" s="13">
        <v>667</v>
      </c>
      <c r="S24" s="13">
        <v>667</v>
      </c>
      <c r="T24" s="13">
        <v>667</v>
      </c>
      <c r="U24" s="13">
        <v>667</v>
      </c>
      <c r="V24" s="13">
        <v>667</v>
      </c>
      <c r="W24" s="13">
        <v>667</v>
      </c>
      <c r="X24" s="13">
        <v>667</v>
      </c>
      <c r="Y24" s="13">
        <v>667</v>
      </c>
      <c r="Z24" s="13">
        <v>667</v>
      </c>
      <c r="AA24" s="13">
        <v>667</v>
      </c>
      <c r="AB24" s="13">
        <v>667</v>
      </c>
      <c r="AC24" s="13">
        <v>667</v>
      </c>
      <c r="AD24" s="13">
        <v>833</v>
      </c>
      <c r="AE24" s="13">
        <v>833</v>
      </c>
      <c r="AF24" s="13">
        <v>833</v>
      </c>
      <c r="AG24" s="13">
        <v>833</v>
      </c>
      <c r="AH24" s="13">
        <v>833</v>
      </c>
      <c r="AI24" s="13">
        <v>833</v>
      </c>
      <c r="AJ24" s="13">
        <v>833</v>
      </c>
      <c r="AK24" s="13">
        <v>833</v>
      </c>
      <c r="AL24" s="13">
        <v>833</v>
      </c>
      <c r="AM24" s="13">
        <v>833</v>
      </c>
      <c r="AN24" s="13">
        <v>833</v>
      </c>
      <c r="AO24" s="13">
        <v>833</v>
      </c>
    </row>
    <row r="25" spans="1:42" ht="15.75" customHeight="1">
      <c r="A25" s="68" t="s">
        <v>65</v>
      </c>
      <c r="B25" s="69"/>
      <c r="C25" s="69"/>
      <c r="D25" s="69"/>
      <c r="E25" s="69"/>
      <c r="F25" s="70">
        <f t="shared" ref="F25:AO25" si="0">SUM(F8:F24)</f>
        <v>4058</v>
      </c>
      <c r="G25" s="70">
        <f t="shared" si="0"/>
        <v>4058</v>
      </c>
      <c r="H25" s="70">
        <f t="shared" si="0"/>
        <v>4058</v>
      </c>
      <c r="I25" s="70">
        <f t="shared" si="0"/>
        <v>4058</v>
      </c>
      <c r="J25" s="70">
        <f t="shared" si="0"/>
        <v>4058</v>
      </c>
      <c r="K25" s="70">
        <f t="shared" si="0"/>
        <v>4058</v>
      </c>
      <c r="L25" s="70">
        <f t="shared" si="0"/>
        <v>4058</v>
      </c>
      <c r="M25" s="70">
        <f t="shared" si="0"/>
        <v>4058</v>
      </c>
      <c r="N25" s="70">
        <f t="shared" si="0"/>
        <v>4058</v>
      </c>
      <c r="O25" s="70">
        <f t="shared" si="0"/>
        <v>4058</v>
      </c>
      <c r="P25" s="70">
        <f t="shared" si="0"/>
        <v>4058</v>
      </c>
      <c r="Q25" s="70">
        <f t="shared" si="0"/>
        <v>4058</v>
      </c>
      <c r="R25" s="70">
        <f t="shared" si="0"/>
        <v>4002</v>
      </c>
      <c r="S25" s="70">
        <f t="shared" si="0"/>
        <v>4002</v>
      </c>
      <c r="T25" s="70">
        <f t="shared" si="0"/>
        <v>4002</v>
      </c>
      <c r="U25" s="70">
        <f t="shared" si="0"/>
        <v>4002</v>
      </c>
      <c r="V25" s="70">
        <f t="shared" si="0"/>
        <v>4002</v>
      </c>
      <c r="W25" s="70">
        <f t="shared" si="0"/>
        <v>4002</v>
      </c>
      <c r="X25" s="70">
        <f t="shared" si="0"/>
        <v>4002</v>
      </c>
      <c r="Y25" s="70">
        <f t="shared" si="0"/>
        <v>4002</v>
      </c>
      <c r="Z25" s="70">
        <f t="shared" si="0"/>
        <v>4002</v>
      </c>
      <c r="AA25" s="70">
        <f t="shared" si="0"/>
        <v>4002</v>
      </c>
      <c r="AB25" s="70">
        <f t="shared" si="0"/>
        <v>4002</v>
      </c>
      <c r="AC25" s="70">
        <f t="shared" si="0"/>
        <v>4002</v>
      </c>
      <c r="AD25" s="70">
        <f t="shared" si="0"/>
        <v>6483</v>
      </c>
      <c r="AE25" s="70">
        <f t="shared" si="0"/>
        <v>6483</v>
      </c>
      <c r="AF25" s="70">
        <f t="shared" si="0"/>
        <v>6483</v>
      </c>
      <c r="AG25" s="70">
        <f t="shared" si="0"/>
        <v>6483</v>
      </c>
      <c r="AH25" s="70">
        <f t="shared" si="0"/>
        <v>6483</v>
      </c>
      <c r="AI25" s="70">
        <f t="shared" si="0"/>
        <v>6483</v>
      </c>
      <c r="AJ25" s="70">
        <f t="shared" si="0"/>
        <v>6483</v>
      </c>
      <c r="AK25" s="70">
        <f t="shared" si="0"/>
        <v>6483</v>
      </c>
      <c r="AL25" s="70">
        <f t="shared" si="0"/>
        <v>6483</v>
      </c>
      <c r="AM25" s="70">
        <f t="shared" si="0"/>
        <v>6483</v>
      </c>
      <c r="AN25" s="70">
        <f t="shared" si="0"/>
        <v>6483</v>
      </c>
      <c r="AO25" s="70">
        <f t="shared" si="0"/>
        <v>6483</v>
      </c>
    </row>
    <row r="26" spans="1:42" ht="15.75" customHeight="1" thickTop="1">
      <c r="A26" s="71"/>
      <c r="B26" s="18"/>
      <c r="C26" s="18"/>
      <c r="D26" s="18"/>
      <c r="E26" s="18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2" ht="15.75" customHeight="1">
      <c r="A27" s="7" t="s">
        <v>66</v>
      </c>
      <c r="B27" s="5" t="s">
        <v>67</v>
      </c>
      <c r="C27" s="7" t="s">
        <v>68</v>
      </c>
      <c r="D27" s="5" t="s">
        <v>69</v>
      </c>
      <c r="E27" s="7" t="s">
        <v>70</v>
      </c>
      <c r="F27" s="40">
        <f t="shared" ref="F27:AO27" si="1">F$7</f>
        <v>45658</v>
      </c>
      <c r="G27" s="40">
        <f t="shared" si="1"/>
        <v>45689</v>
      </c>
      <c r="H27" s="40">
        <f t="shared" si="1"/>
        <v>45717</v>
      </c>
      <c r="I27" s="40">
        <f t="shared" si="1"/>
        <v>45748</v>
      </c>
      <c r="J27" s="40">
        <f t="shared" si="1"/>
        <v>45778</v>
      </c>
      <c r="K27" s="40">
        <f t="shared" si="1"/>
        <v>45809</v>
      </c>
      <c r="L27" s="40">
        <f t="shared" si="1"/>
        <v>45839</v>
      </c>
      <c r="M27" s="40">
        <f t="shared" si="1"/>
        <v>45870</v>
      </c>
      <c r="N27" s="40">
        <f t="shared" si="1"/>
        <v>45901</v>
      </c>
      <c r="O27" s="40">
        <f t="shared" si="1"/>
        <v>45931</v>
      </c>
      <c r="P27" s="40">
        <f t="shared" si="1"/>
        <v>45962</v>
      </c>
      <c r="Q27" s="40">
        <f t="shared" si="1"/>
        <v>45992</v>
      </c>
      <c r="R27" s="40">
        <f t="shared" si="1"/>
        <v>46023</v>
      </c>
      <c r="S27" s="40">
        <f t="shared" si="1"/>
        <v>46054</v>
      </c>
      <c r="T27" s="40">
        <f t="shared" si="1"/>
        <v>46082</v>
      </c>
      <c r="U27" s="40">
        <f t="shared" si="1"/>
        <v>46113</v>
      </c>
      <c r="V27" s="40">
        <f t="shared" si="1"/>
        <v>46143</v>
      </c>
      <c r="W27" s="40">
        <f t="shared" si="1"/>
        <v>46174</v>
      </c>
      <c r="X27" s="40">
        <f t="shared" si="1"/>
        <v>46204</v>
      </c>
      <c r="Y27" s="40">
        <f t="shared" si="1"/>
        <v>46235</v>
      </c>
      <c r="Z27" s="40">
        <f t="shared" si="1"/>
        <v>46266</v>
      </c>
      <c r="AA27" s="40">
        <f t="shared" si="1"/>
        <v>46296</v>
      </c>
      <c r="AB27" s="40">
        <f t="shared" si="1"/>
        <v>46327</v>
      </c>
      <c r="AC27" s="40">
        <f t="shared" si="1"/>
        <v>46357</v>
      </c>
      <c r="AD27" s="40">
        <f t="shared" si="1"/>
        <v>46388</v>
      </c>
      <c r="AE27" s="40">
        <f t="shared" si="1"/>
        <v>46419</v>
      </c>
      <c r="AF27" s="40">
        <f t="shared" si="1"/>
        <v>46447</v>
      </c>
      <c r="AG27" s="40">
        <f t="shared" si="1"/>
        <v>46478</v>
      </c>
      <c r="AH27" s="40">
        <f t="shared" si="1"/>
        <v>46508</v>
      </c>
      <c r="AI27" s="40">
        <f t="shared" si="1"/>
        <v>46539</v>
      </c>
      <c r="AJ27" s="40">
        <f t="shared" si="1"/>
        <v>46569</v>
      </c>
      <c r="AK27" s="40">
        <f t="shared" si="1"/>
        <v>46600</v>
      </c>
      <c r="AL27" s="40">
        <f t="shared" si="1"/>
        <v>46631</v>
      </c>
      <c r="AM27" s="40">
        <f t="shared" si="1"/>
        <v>46661</v>
      </c>
      <c r="AN27" s="40">
        <f t="shared" si="1"/>
        <v>46692</v>
      </c>
      <c r="AO27" s="40">
        <f t="shared" si="1"/>
        <v>46722</v>
      </c>
    </row>
    <row r="28" spans="1:42" ht="15.75" customHeight="1" outlineLevel="1">
      <c r="A28" s="11" t="s">
        <v>71</v>
      </c>
      <c r="B28" s="65">
        <v>2500</v>
      </c>
      <c r="C28" s="73">
        <v>45682</v>
      </c>
      <c r="D28" s="74">
        <v>0.03</v>
      </c>
      <c r="E28" s="15">
        <f t="shared" ref="E28:E41" si="2">IF(B28&lt;=676,0,0.138)</f>
        <v>0.13800000000000001</v>
      </c>
      <c r="F28" s="75" t="str">
        <f>IF(AND(F$27&gt;=$C28,$B28&gt;0),($B28+($B28*$D28)+($B28*$E28))," ")</f>
        <v xml:space="preserve"> </v>
      </c>
      <c r="G28" s="75">
        <f>IF(AND(G$27&gt;=$C28,$B28&gt;0),($B28+($B28*$D28)+($B28*$E28))," ")</f>
        <v>2920</v>
      </c>
      <c r="H28" s="75">
        <f>IF(AND(H$27&gt;=$C28,$B28&gt;0),($B28+($B28*$D28)+($B28*$E28))," ")</f>
        <v>2920</v>
      </c>
      <c r="I28" s="75">
        <f>IF(AND(I$27&gt;=$C28,$B28&gt;0),($B28+($B28*$D28)+($B28*$E28))," ")</f>
        <v>2920</v>
      </c>
      <c r="J28" s="75">
        <f>IF(AND(J$27&gt;=$C28,$B28&gt;0),($B28+($B28*$D28)+($B28*$E28))," ")</f>
        <v>2920</v>
      </c>
      <c r="K28" s="75">
        <f>IF(AND(K$27&gt;=$C28,$B28&gt;0),($B28+($B28*$D28)+($B28*$E28))," ")</f>
        <v>2920</v>
      </c>
      <c r="L28" s="75">
        <f>IF(AND(L$27&gt;=$C28,$B28&gt;0),($B28+($B28*$D28)+($B28*$E28))," ")</f>
        <v>2920</v>
      </c>
      <c r="M28" s="75">
        <f>IF(AND(M$27&gt;=$C28,$B28&gt;0),($B28+($B28*$D28)+($B28*$E28))," ")</f>
        <v>2920</v>
      </c>
      <c r="N28" s="75">
        <f>IF(AND(N$27&gt;=$C28,$B28&gt;0),($B28+($B28*$D28)+($B28*$E28))," ")</f>
        <v>2920</v>
      </c>
      <c r="O28" s="75">
        <f>IF(AND(O$27&gt;=$C28,$B28&gt;0),($B28+($B28*$D28)+($B28*$E28))," ")</f>
        <v>2920</v>
      </c>
      <c r="P28" s="75">
        <f>IF(AND(P$27&gt;=$C28,$B28&gt;0),($B28+($B28*$D28)+($B28*$E28))," ")</f>
        <v>2920</v>
      </c>
      <c r="Q28" s="75">
        <f>IF(AND(Q$27&gt;=$C28,$B28&gt;0),($B28+($B28*$D28)+($B28*$E28))," ")</f>
        <v>2920</v>
      </c>
      <c r="R28" s="75">
        <f>IF(AND(R$27&gt;=$C28,$B28&gt;0),($B28+($B28*$D28)+($B28*$E28))," ")</f>
        <v>2920</v>
      </c>
      <c r="S28" s="75">
        <f>IF(AND(S$27&gt;=$C28,$B28&gt;0),($B28+($B28*$D28)+($B28*$E28))," ")</f>
        <v>2920</v>
      </c>
      <c r="T28" s="75">
        <f>IF(AND(T$27&gt;=$C28,$B28&gt;0),($B28+($B28*$D28)+($B28*$E28))," ")</f>
        <v>2920</v>
      </c>
      <c r="U28" s="75">
        <f>IF(AND(U$27&gt;=$C28,$B28&gt;0),($B28+($B28*$D28)+($B28*$E28))," ")</f>
        <v>2920</v>
      </c>
      <c r="V28" s="75">
        <f>IF(AND(V$27&gt;=$C28,$B28&gt;0),($B28+($B28*$D28)+($B28*$E28))," ")</f>
        <v>2920</v>
      </c>
      <c r="W28" s="75">
        <f>IF(AND(W$27&gt;=$C28,$B28&gt;0),($B28+($B28*$D28)+($B28*$E28))," ")</f>
        <v>2920</v>
      </c>
      <c r="X28" s="75">
        <f>IF(AND(X$27&gt;=$C28,$B28&gt;0),($B28+($B28*$D28)+($B28*$E28))," ")</f>
        <v>2920</v>
      </c>
      <c r="Y28" s="75">
        <f>IF(AND(Y$27&gt;=$C28,$B28&gt;0),($B28+($B28*$D28)+($B28*$E28))," ")</f>
        <v>2920</v>
      </c>
      <c r="Z28" s="75">
        <f>IF(AND(Z$27&gt;=$C28,$B28&gt;0),($B28+($B28*$D28)+($B28*$E28))," ")</f>
        <v>2920</v>
      </c>
      <c r="AA28" s="75">
        <f>IF(AND(AA$27&gt;=$C28,$B28&gt;0),($B28+($B28*$D28)+($B28*$E28))," ")</f>
        <v>2920</v>
      </c>
      <c r="AB28" s="75">
        <f>IF(AND(AB$27&gt;=$C28,$B28&gt;0),($B28+($B28*$D28)+($B28*$E28))," ")</f>
        <v>2920</v>
      </c>
      <c r="AC28" s="75">
        <f>IF(AND(AC$27&gt;=$C28,$B28&gt;0),($B28+($B28*$D28)+($B28*$E28))," ")</f>
        <v>2920</v>
      </c>
      <c r="AD28" s="75">
        <f>IF(AND(AD$27&gt;=$C28,$B28&gt;0),($B28+($B28*$D28)+($B28*$E28))," ")</f>
        <v>2920</v>
      </c>
      <c r="AE28" s="75">
        <f>IF(AND(AE$27&gt;=$C28,$B28&gt;0),($B28+($B28*$D28)+($B28*$E28))," ")</f>
        <v>2920</v>
      </c>
      <c r="AF28" s="75">
        <f>IF(AND(AF$27&gt;=$C28,$B28&gt;0),($B28+($B28*$D28)+($B28*$E28))," ")</f>
        <v>2920</v>
      </c>
      <c r="AG28" s="75">
        <f>IF(AND(AG$27&gt;=$C28,$B28&gt;0),($B28+($B28*$D28)+($B28*$E28))," ")</f>
        <v>2920</v>
      </c>
      <c r="AH28" s="75">
        <f>IF(AND(AH$27&gt;=$C28,$B28&gt;0),($B28+($B28*$D28)+($B28*$E28))," ")</f>
        <v>2920</v>
      </c>
      <c r="AI28" s="75">
        <f>IF(AND(AI$27&gt;=$C28,$B28&gt;0),($B28+($B28*$D28)+($B28*$E28))," ")</f>
        <v>2920</v>
      </c>
      <c r="AJ28" s="75">
        <f>IF(AND(AJ$27&gt;=$C28,$B28&gt;0),($B28+($B28*$D28)+($B28*$E28))," ")</f>
        <v>2920</v>
      </c>
      <c r="AK28" s="75">
        <f>IF(AND(AK$27&gt;=$C28,$B28&gt;0),($B28+($B28*$D28)+($B28*$E28))," ")</f>
        <v>2920</v>
      </c>
      <c r="AL28" s="75">
        <f>IF(AND(AL$27&gt;=$C28,$B28&gt;0),($B28+($B28*$D28)+($B28*$E28))," ")</f>
        <v>2920</v>
      </c>
      <c r="AM28" s="75">
        <f>IF(AND(AM$27&gt;=$C28,$B28&gt;0),($B28+($B28*$D28)+($B28*$E28))," ")</f>
        <v>2920</v>
      </c>
      <c r="AN28" s="75">
        <f>IF(AND(AN$27&gt;=$C28,$B28&gt;0),($B28+($B28*$D28)+($B28*$E28))," ")</f>
        <v>2920</v>
      </c>
      <c r="AO28" s="75">
        <f>IF(AND(AO$27&gt;=$C28,$B28&gt;0),($B28+($B28*$D28)+($B28*$E28))," ")</f>
        <v>2920</v>
      </c>
    </row>
    <row r="29" spans="1:42" ht="15.75" customHeight="1" outlineLevel="1">
      <c r="A29" s="11" t="s">
        <v>72</v>
      </c>
      <c r="B29" s="65">
        <v>3000</v>
      </c>
      <c r="C29" s="73">
        <v>45682</v>
      </c>
      <c r="D29" s="74">
        <v>0.03</v>
      </c>
      <c r="E29" s="15">
        <f t="shared" si="2"/>
        <v>0.13800000000000001</v>
      </c>
      <c r="F29" s="75" t="str">
        <f>IF(AND(F$27&gt;=$C29,$B29&gt;0),($B29+($B29*$D29)+($B29*$E29))," ")</f>
        <v xml:space="preserve"> </v>
      </c>
      <c r="G29" s="75">
        <f>IF(AND(G$27&gt;=$C29,$B29&gt;0),($B29+($B29*$D29)+($B29*$E29))," ")</f>
        <v>3504</v>
      </c>
      <c r="H29" s="75">
        <f>IF(AND(H$27&gt;=$C29,$B29&gt;0),($B29+($B29*$D29)+($B29*$E29))," ")</f>
        <v>3504</v>
      </c>
      <c r="I29" s="75">
        <f>IF(AND(I$27&gt;=$C29,$B29&gt;0),($B29+($B29*$D29)+($B29*$E29))," ")</f>
        <v>3504</v>
      </c>
      <c r="J29" s="75">
        <f>IF(AND(J$27&gt;=$C29,$B29&gt;0),($B29+($B29*$D29)+($B29*$E29))," ")</f>
        <v>3504</v>
      </c>
      <c r="K29" s="75">
        <f>IF(AND(K$27&gt;=$C29,$B29&gt;0),($B29+($B29*$D29)+($B29*$E29))," ")</f>
        <v>3504</v>
      </c>
      <c r="L29" s="75">
        <f>IF(AND(L$27&gt;=$C29,$B29&gt;0),($B29+($B29*$D29)+($B29*$E29))," ")</f>
        <v>3504</v>
      </c>
      <c r="M29" s="75">
        <f>IF(AND(M$27&gt;=$C29,$B29&gt;0),($B29+($B29*$D29)+($B29*$E29))," ")</f>
        <v>3504</v>
      </c>
      <c r="N29" s="75">
        <f>IF(AND(N$27&gt;=$C29,$B29&gt;0),($B29+($B29*$D29)+($B29*$E29))," ")</f>
        <v>3504</v>
      </c>
      <c r="O29" s="75">
        <f>IF(AND(O$27&gt;=$C29,$B29&gt;0),($B29+($B29*$D29)+($B29*$E29))," ")</f>
        <v>3504</v>
      </c>
      <c r="P29" s="75">
        <f>IF(AND(P$27&gt;=$C29,$B29&gt;0),($B29+($B29*$D29)+($B29*$E29))," ")</f>
        <v>3504</v>
      </c>
      <c r="Q29" s="75">
        <f>IF(AND(Q$27&gt;=$C29,$B29&gt;0),($B29+($B29*$D29)+($B29*$E29))," ")</f>
        <v>3504</v>
      </c>
      <c r="R29" s="75">
        <f>IF(AND(R$27&gt;=$C29,$B29&gt;0),($B29+($B29*$D29)+($B29*$E29))," ")</f>
        <v>3504</v>
      </c>
      <c r="S29" s="75">
        <f>IF(AND(S$27&gt;=$C29,$B29&gt;0),($B29+($B29*$D29)+($B29*$E29))," ")</f>
        <v>3504</v>
      </c>
      <c r="T29" s="75">
        <f>IF(AND(T$27&gt;=$C29,$B29&gt;0),($B29+($B29*$D29)+($B29*$E29))," ")</f>
        <v>3504</v>
      </c>
      <c r="U29" s="75">
        <f>IF(AND(U$27&gt;=$C29,$B29&gt;0),($B29+($B29*$D29)+($B29*$E29))," ")</f>
        <v>3504</v>
      </c>
      <c r="V29" s="75">
        <f>IF(AND(V$27&gt;=$C29,$B29&gt;0),($B29+($B29*$D29)+($B29*$E29))," ")</f>
        <v>3504</v>
      </c>
      <c r="W29" s="75">
        <f>IF(AND(W$27&gt;=$C29,$B29&gt;0),($B29+($B29*$D29)+($B29*$E29))," ")</f>
        <v>3504</v>
      </c>
      <c r="X29" s="75">
        <f>IF(AND(X$27&gt;=$C29,$B29&gt;0),($B29+($B29*$D29)+($B29*$E29))," ")</f>
        <v>3504</v>
      </c>
      <c r="Y29" s="75">
        <f>IF(AND(Y$27&gt;=$C29,$B29&gt;0),($B29+($B29*$D29)+($B29*$E29))," ")</f>
        <v>3504</v>
      </c>
      <c r="Z29" s="75">
        <f>IF(AND(Z$27&gt;=$C29,$B29&gt;0),($B29+($B29*$D29)+($B29*$E29))," ")</f>
        <v>3504</v>
      </c>
      <c r="AA29" s="75">
        <f>IF(AND(AA$27&gt;=$C29,$B29&gt;0),($B29+($B29*$D29)+($B29*$E29))," ")</f>
        <v>3504</v>
      </c>
      <c r="AB29" s="75">
        <f>IF(AND(AB$27&gt;=$C29,$B29&gt;0),($B29+($B29*$D29)+($B29*$E29))," ")</f>
        <v>3504</v>
      </c>
      <c r="AC29" s="75">
        <f>IF(AND(AC$27&gt;=$C29,$B29&gt;0),($B29+($B29*$D29)+($B29*$E29))," ")</f>
        <v>3504</v>
      </c>
      <c r="AD29" s="75">
        <f>IF(AND(AD$27&gt;=$C29,$B29&gt;0),($B29+($B29*$D29)+($B29*$E29))," ")</f>
        <v>3504</v>
      </c>
      <c r="AE29" s="75">
        <f>IF(AND(AE$27&gt;=$C29,$B29&gt;0),($B29+($B29*$D29)+($B29*$E29))," ")</f>
        <v>3504</v>
      </c>
      <c r="AF29" s="75">
        <f>IF(AND(AF$27&gt;=$C29,$B29&gt;0),($B29+($B29*$D29)+($B29*$E29))," ")</f>
        <v>3504</v>
      </c>
      <c r="AG29" s="75">
        <f>IF(AND(AG$27&gt;=$C29,$B29&gt;0),($B29+($B29*$D29)+($B29*$E29))," ")</f>
        <v>3504</v>
      </c>
      <c r="AH29" s="75">
        <f>IF(AND(AH$27&gt;=$C29,$B29&gt;0),($B29+($B29*$D29)+($B29*$E29))," ")</f>
        <v>3504</v>
      </c>
      <c r="AI29" s="75">
        <f>IF(AND(AI$27&gt;=$C29,$B29&gt;0),($B29+($B29*$D29)+($B29*$E29))," ")</f>
        <v>3504</v>
      </c>
      <c r="AJ29" s="75">
        <f>IF(AND(AJ$27&gt;=$C29,$B29&gt;0),($B29+($B29*$D29)+($B29*$E29))," ")</f>
        <v>3504</v>
      </c>
      <c r="AK29" s="75">
        <f>IF(AND(AK$27&gt;=$C29,$B29&gt;0),($B29+($B29*$D29)+($B29*$E29))," ")</f>
        <v>3504</v>
      </c>
      <c r="AL29" s="75">
        <f>IF(AND(AL$27&gt;=$C29,$B29&gt;0),($B29+($B29*$D29)+($B29*$E29))," ")</f>
        <v>3504</v>
      </c>
      <c r="AM29" s="75">
        <f>IF(AND(AM$27&gt;=$C29,$B29&gt;0),($B29+($B29*$D29)+($B29*$E29))," ")</f>
        <v>3504</v>
      </c>
      <c r="AN29" s="75">
        <f>IF(AND(AN$27&gt;=$C29,$B29&gt;0),($B29+($B29*$D29)+($B29*$E29))," ")</f>
        <v>3504</v>
      </c>
      <c r="AO29" s="75">
        <f>IF(AND(AO$27&gt;=$C29,$B29&gt;0),($B29+($B29*$D29)+($B29*$E29))," ")</f>
        <v>3504</v>
      </c>
    </row>
    <row r="30" spans="1:42" ht="15.75" customHeight="1" outlineLevel="1">
      <c r="A30" s="11" t="s">
        <v>73</v>
      </c>
      <c r="B30" s="65">
        <v>2200</v>
      </c>
      <c r="C30" s="73">
        <v>45682</v>
      </c>
      <c r="D30" s="74">
        <v>0.03</v>
      </c>
      <c r="E30" s="15">
        <f t="shared" si="2"/>
        <v>0.13800000000000001</v>
      </c>
      <c r="F30" s="75" t="str">
        <f>IF(AND(F$27&gt;=$C30,$B30&gt;0),($B30+($B30*$D30)+($B30*$E30))," ")</f>
        <v xml:space="preserve"> </v>
      </c>
      <c r="G30" s="75">
        <f>IF(AND(G$27&gt;=$C30,$B30&gt;0),($B30+($B30*$D30)+($B30*$E30))," ")</f>
        <v>2569.6</v>
      </c>
      <c r="H30" s="75">
        <f>IF(AND(H$27&gt;=$C30,$B30&gt;0),($B30+($B30*$D30)+($B30*$E30))," ")</f>
        <v>2569.6</v>
      </c>
      <c r="I30" s="75">
        <f>IF(AND(I$27&gt;=$C30,$B30&gt;0),($B30+($B30*$D30)+($B30*$E30))," ")</f>
        <v>2569.6</v>
      </c>
      <c r="J30" s="75">
        <f>IF(AND(J$27&gt;=$C30,$B30&gt;0),($B30+($B30*$D30)+($B30*$E30))," ")</f>
        <v>2569.6</v>
      </c>
      <c r="K30" s="75">
        <f>IF(AND(K$27&gt;=$C30,$B30&gt;0),($B30+($B30*$D30)+($B30*$E30))," ")</f>
        <v>2569.6</v>
      </c>
      <c r="L30" s="75">
        <f>IF(AND(L$27&gt;=$C30,$B30&gt;0),($B30+($B30*$D30)+($B30*$E30))," ")</f>
        <v>2569.6</v>
      </c>
      <c r="M30" s="75">
        <f>IF(AND(M$27&gt;=$C30,$B30&gt;0),($B30+($B30*$D30)+($B30*$E30))," ")</f>
        <v>2569.6</v>
      </c>
      <c r="N30" s="75">
        <f>IF(AND(N$27&gt;=$C30,$B30&gt;0),($B30+($B30*$D30)+($B30*$E30))," ")</f>
        <v>2569.6</v>
      </c>
      <c r="O30" s="75">
        <f>IF(AND(O$27&gt;=$C30,$B30&gt;0),($B30+($B30*$D30)+($B30*$E30))," ")</f>
        <v>2569.6</v>
      </c>
      <c r="P30" s="75">
        <f>IF(AND(P$27&gt;=$C30,$B30&gt;0),($B30+($B30*$D30)+($B30*$E30))," ")</f>
        <v>2569.6</v>
      </c>
      <c r="Q30" s="75">
        <f>IF(AND(Q$27&gt;=$C30,$B30&gt;0),($B30+($B30*$D30)+($B30*$E30))," ")</f>
        <v>2569.6</v>
      </c>
      <c r="R30" s="75">
        <f>IF(AND(R$27&gt;=$C30,$B30&gt;0),($B30+($B30*$D30)+($B30*$E30))," ")</f>
        <v>2569.6</v>
      </c>
      <c r="S30" s="75">
        <f>IF(AND(S$27&gt;=$C30,$B30&gt;0),($B30+($B30*$D30)+($B30*$E30))," ")</f>
        <v>2569.6</v>
      </c>
      <c r="T30" s="75">
        <f>IF(AND(T$27&gt;=$C30,$B30&gt;0),($B30+($B30*$D30)+($B30*$E30))," ")</f>
        <v>2569.6</v>
      </c>
      <c r="U30" s="75">
        <f>IF(AND(U$27&gt;=$C30,$B30&gt;0),($B30+($B30*$D30)+($B30*$E30))," ")</f>
        <v>2569.6</v>
      </c>
      <c r="V30" s="75">
        <f>IF(AND(V$27&gt;=$C30,$B30&gt;0),($B30+($B30*$D30)+($B30*$E30))," ")</f>
        <v>2569.6</v>
      </c>
      <c r="W30" s="75">
        <f>IF(AND(W$27&gt;=$C30,$B30&gt;0),($B30+($B30*$D30)+($B30*$E30))," ")</f>
        <v>2569.6</v>
      </c>
      <c r="X30" s="75">
        <f>IF(AND(X$27&gt;=$C30,$B30&gt;0),($B30+($B30*$D30)+($B30*$E30))," ")</f>
        <v>2569.6</v>
      </c>
      <c r="Y30" s="75">
        <f>IF(AND(Y$27&gt;=$C30,$B30&gt;0),($B30+($B30*$D30)+($B30*$E30))," ")</f>
        <v>2569.6</v>
      </c>
      <c r="Z30" s="75">
        <f>IF(AND(Z$27&gt;=$C30,$B30&gt;0),($B30+($B30*$D30)+($B30*$E30))," ")</f>
        <v>2569.6</v>
      </c>
      <c r="AA30" s="75">
        <f>IF(AND(AA$27&gt;=$C30,$B30&gt;0),($B30+($B30*$D30)+($B30*$E30))," ")</f>
        <v>2569.6</v>
      </c>
      <c r="AB30" s="75">
        <f>IF(AND(AB$27&gt;=$C30,$B30&gt;0),($B30+($B30*$D30)+($B30*$E30))," ")</f>
        <v>2569.6</v>
      </c>
      <c r="AC30" s="75">
        <f>IF(AND(AC$27&gt;=$C30,$B30&gt;0),($B30+($B30*$D30)+($B30*$E30))," ")</f>
        <v>2569.6</v>
      </c>
      <c r="AD30" s="75">
        <f>IF(AND(AD$27&gt;=$C30,$B30&gt;0),($B30+($B30*$D30)+($B30*$E30))," ")</f>
        <v>2569.6</v>
      </c>
      <c r="AE30" s="75">
        <f>IF(AND(AE$27&gt;=$C30,$B30&gt;0),($B30+($B30*$D30)+($B30*$E30))," ")</f>
        <v>2569.6</v>
      </c>
      <c r="AF30" s="75">
        <f>IF(AND(AF$27&gt;=$C30,$B30&gt;0),($B30+($B30*$D30)+($B30*$E30))," ")</f>
        <v>2569.6</v>
      </c>
      <c r="AG30" s="75">
        <f>IF(AND(AG$27&gt;=$C30,$B30&gt;0),($B30+($B30*$D30)+($B30*$E30))," ")</f>
        <v>2569.6</v>
      </c>
      <c r="AH30" s="75">
        <f>IF(AND(AH$27&gt;=$C30,$B30&gt;0),($B30+($B30*$D30)+($B30*$E30))," ")</f>
        <v>2569.6</v>
      </c>
      <c r="AI30" s="75">
        <f>IF(AND(AI$27&gt;=$C30,$B30&gt;0),($B30+($B30*$D30)+($B30*$E30))," ")</f>
        <v>2569.6</v>
      </c>
      <c r="AJ30" s="75">
        <f>IF(AND(AJ$27&gt;=$C30,$B30&gt;0),($B30+($B30*$D30)+($B30*$E30))," ")</f>
        <v>2569.6</v>
      </c>
      <c r="AK30" s="75">
        <f>IF(AND(AK$27&gt;=$C30,$B30&gt;0),($B30+($B30*$D30)+($B30*$E30))," ")</f>
        <v>2569.6</v>
      </c>
      <c r="AL30" s="75">
        <f>IF(AND(AL$27&gt;=$C30,$B30&gt;0),($B30+($B30*$D30)+($B30*$E30))," ")</f>
        <v>2569.6</v>
      </c>
      <c r="AM30" s="75">
        <f>IF(AND(AM$27&gt;=$C30,$B30&gt;0),($B30+($B30*$D30)+($B30*$E30))," ")</f>
        <v>2569.6</v>
      </c>
      <c r="AN30" s="75">
        <f>IF(AND(AN$27&gt;=$C30,$B30&gt;0),($B30+($B30*$D30)+($B30*$E30))," ")</f>
        <v>2569.6</v>
      </c>
      <c r="AO30" s="75">
        <f>IF(AND(AO$27&gt;=$C30,$B30&gt;0),($B30+($B30*$D30)+($B30*$E30))," ")</f>
        <v>2569.6</v>
      </c>
    </row>
    <row r="31" spans="1:42" ht="15.75" customHeight="1" outlineLevel="1">
      <c r="A31" s="76" t="s">
        <v>75</v>
      </c>
      <c r="B31" s="65">
        <v>3500</v>
      </c>
      <c r="C31" s="73">
        <v>45682</v>
      </c>
      <c r="D31" s="74">
        <v>0.03</v>
      </c>
      <c r="E31" s="15">
        <f t="shared" si="2"/>
        <v>0.13800000000000001</v>
      </c>
      <c r="F31" s="75" t="str">
        <f>IF(AND(F$27&gt;=$C31,$B31&gt;0),($B31+($B31*$D31)+($B31*$E31))," ")</f>
        <v xml:space="preserve"> </v>
      </c>
      <c r="G31" s="75">
        <f>IF(AND(G$27&gt;=$C31,$B31&gt;0),($B31+($B31*$D31)+($B31*$E31))," ")</f>
        <v>4088</v>
      </c>
      <c r="H31" s="75">
        <f>IF(AND(H$27&gt;=$C31,$B31&gt;0),($B31+($B31*$D31)+($B31*$E31))," ")</f>
        <v>4088</v>
      </c>
      <c r="I31" s="75">
        <f>IF(AND(I$27&gt;=$C31,$B31&gt;0),($B31+($B31*$D31)+($B31*$E31))," ")</f>
        <v>4088</v>
      </c>
      <c r="J31" s="75">
        <f>IF(AND(J$27&gt;=$C31,$B31&gt;0),($B31+($B31*$D31)+($B31*$E31))," ")</f>
        <v>4088</v>
      </c>
      <c r="K31" s="75">
        <f>IF(AND(K$27&gt;=$C31,$B31&gt;0),($B31+($B31*$D31)+($B31*$E31))," ")</f>
        <v>4088</v>
      </c>
      <c r="L31" s="75">
        <f>IF(AND(L$27&gt;=$C31,$B31&gt;0),($B31+($B31*$D31)+($B31*$E31))," ")</f>
        <v>4088</v>
      </c>
      <c r="M31" s="75">
        <f>IF(AND(M$27&gt;=$C31,$B31&gt;0),($B31+($B31*$D31)+($B31*$E31))," ")</f>
        <v>4088</v>
      </c>
      <c r="N31" s="75">
        <f>IF(AND(N$27&gt;=$C31,$B31&gt;0),($B31+($B31*$D31)+($B31*$E31))," ")</f>
        <v>4088</v>
      </c>
      <c r="O31" s="75">
        <f>IF(AND(O$27&gt;=$C31,$B31&gt;0),($B31+($B31*$D31)+($B31*$E31))," ")</f>
        <v>4088</v>
      </c>
      <c r="P31" s="75">
        <f>IF(AND(P$27&gt;=$C31,$B31&gt;0),($B31+($B31*$D31)+($B31*$E31))," ")</f>
        <v>4088</v>
      </c>
      <c r="Q31" s="75">
        <f>IF(AND(Q$27&gt;=$C31,$B31&gt;0),($B31+($B31*$D31)+($B31*$E31))," ")</f>
        <v>4088</v>
      </c>
      <c r="R31" s="75">
        <f>IF(AND(R$27&gt;=$C31,$B31&gt;0),($B31+($B31*$D31)+($B31*$E31))," ")</f>
        <v>4088</v>
      </c>
      <c r="S31" s="75">
        <f>IF(AND(S$27&gt;=$C31,$B31&gt;0),($B31+($B31*$D31)+($B31*$E31))," ")</f>
        <v>4088</v>
      </c>
      <c r="T31" s="75">
        <f>IF(AND(T$27&gt;=$C31,$B31&gt;0),($B31+($B31*$D31)+($B31*$E31))," ")</f>
        <v>4088</v>
      </c>
      <c r="U31" s="75">
        <f>IF(AND(U$27&gt;=$C31,$B31&gt;0),($B31+($B31*$D31)+($B31*$E31))," ")</f>
        <v>4088</v>
      </c>
      <c r="V31" s="75">
        <f>IF(AND(V$27&gt;=$C31,$B31&gt;0),($B31+($B31*$D31)+($B31*$E31))," ")</f>
        <v>4088</v>
      </c>
      <c r="W31" s="75">
        <f>IF(AND(W$27&gt;=$C31,$B31&gt;0),($B31+($B31*$D31)+($B31*$E31))," ")</f>
        <v>4088</v>
      </c>
      <c r="X31" s="75">
        <f>IF(AND(X$27&gt;=$C31,$B31&gt;0),($B31+($B31*$D31)+($B31*$E31))," ")</f>
        <v>4088</v>
      </c>
      <c r="Y31" s="75">
        <f>IF(AND(Y$27&gt;=$C31,$B31&gt;0),($B31+($B31*$D31)+($B31*$E31))," ")</f>
        <v>4088</v>
      </c>
      <c r="Z31" s="75">
        <f>IF(AND(Z$27&gt;=$C31,$B31&gt;0),($B31+($B31*$D31)+($B31*$E31))," ")</f>
        <v>4088</v>
      </c>
      <c r="AA31" s="75">
        <f>IF(AND(AA$27&gt;=$C31,$B31&gt;0),($B31+($B31*$D31)+($B31*$E31))," ")</f>
        <v>4088</v>
      </c>
      <c r="AB31" s="75">
        <f>IF(AND(AB$27&gt;=$C31,$B31&gt;0),($B31+($B31*$D31)+($B31*$E31))," ")</f>
        <v>4088</v>
      </c>
      <c r="AC31" s="75">
        <f>IF(AND(AC$27&gt;=$C31,$B31&gt;0),($B31+($B31*$D31)+($B31*$E31))," ")</f>
        <v>4088</v>
      </c>
      <c r="AD31" s="75">
        <f>IF(AND(AD$27&gt;=$C31,$B31&gt;0),($B31+($B31*$D31)+($B31*$E31))," ")</f>
        <v>4088</v>
      </c>
      <c r="AE31" s="75">
        <f>IF(AND(AE$27&gt;=$C31,$B31&gt;0),($B31+($B31*$D31)+($B31*$E31))," ")</f>
        <v>4088</v>
      </c>
      <c r="AF31" s="75">
        <f>IF(AND(AF$27&gt;=$C31,$B31&gt;0),($B31+($B31*$D31)+($B31*$E31))," ")</f>
        <v>4088</v>
      </c>
      <c r="AG31" s="75">
        <f>IF(AND(AG$27&gt;=$C31,$B31&gt;0),($B31+($B31*$D31)+($B31*$E31))," ")</f>
        <v>4088</v>
      </c>
      <c r="AH31" s="75">
        <f>IF(AND(AH$27&gt;=$C31,$B31&gt;0),($B31+($B31*$D31)+($B31*$E31))," ")</f>
        <v>4088</v>
      </c>
      <c r="AI31" s="75">
        <f>IF(AND(AI$27&gt;=$C31,$B31&gt;0),($B31+($B31*$D31)+($B31*$E31))," ")</f>
        <v>4088</v>
      </c>
      <c r="AJ31" s="75">
        <f>IF(AND(AJ$27&gt;=$C31,$B31&gt;0),($B31+($B31*$D31)+($B31*$E31))," ")</f>
        <v>4088</v>
      </c>
      <c r="AK31" s="75">
        <f>IF(AND(AK$27&gt;=$C31,$B31&gt;0),($B31+($B31*$D31)+($B31*$E31))," ")</f>
        <v>4088</v>
      </c>
      <c r="AL31" s="75">
        <f>IF(AND(AL$27&gt;=$C31,$B31&gt;0),($B31+($B31*$D31)+($B31*$E31))," ")</f>
        <v>4088</v>
      </c>
      <c r="AM31" s="75">
        <f>IF(AND(AM$27&gt;=$C31,$B31&gt;0),($B31+($B31*$D31)+($B31*$E31))," ")</f>
        <v>4088</v>
      </c>
      <c r="AN31" s="75">
        <f>IF(AND(AN$27&gt;=$C31,$B31&gt;0),($B31+($B31*$D31)+($B31*$E31))," ")</f>
        <v>4088</v>
      </c>
      <c r="AO31" s="75">
        <f>IF(AND(AO$27&gt;=$C31,$B31&gt;0),($B31+($B31*$D31)+($B31*$E31))," ")</f>
        <v>4088</v>
      </c>
    </row>
    <row r="32" spans="1:42" ht="15.75" customHeight="1" outlineLevel="1">
      <c r="A32" s="11"/>
      <c r="B32" s="65"/>
      <c r="C32" s="73"/>
      <c r="D32" s="74">
        <v>0.03</v>
      </c>
      <c r="E32" s="15">
        <f t="shared" si="2"/>
        <v>0</v>
      </c>
      <c r="F32" s="75" t="str">
        <f t="shared" ref="F32:AO32" si="3">IF(AND(F$27&gt;=$C32,$B32&gt;0),($B32+($B32*$D32)+($B32*$E32))," ")</f>
        <v xml:space="preserve"> </v>
      </c>
      <c r="G32" s="75" t="str">
        <f t="shared" si="3"/>
        <v xml:space="preserve"> </v>
      </c>
      <c r="H32" s="75" t="str">
        <f t="shared" si="3"/>
        <v xml:space="preserve"> </v>
      </c>
      <c r="I32" s="75" t="str">
        <f t="shared" si="3"/>
        <v xml:space="preserve"> </v>
      </c>
      <c r="J32" s="75" t="str">
        <f t="shared" si="3"/>
        <v xml:space="preserve"> </v>
      </c>
      <c r="K32" s="75" t="str">
        <f t="shared" si="3"/>
        <v xml:space="preserve"> </v>
      </c>
      <c r="L32" s="75" t="str">
        <f t="shared" si="3"/>
        <v xml:space="preserve"> </v>
      </c>
      <c r="M32" s="75" t="str">
        <f t="shared" si="3"/>
        <v xml:space="preserve"> </v>
      </c>
      <c r="N32" s="75" t="str">
        <f t="shared" si="3"/>
        <v xml:space="preserve"> </v>
      </c>
      <c r="O32" s="75" t="str">
        <f t="shared" si="3"/>
        <v xml:space="preserve"> </v>
      </c>
      <c r="P32" s="75" t="str">
        <f t="shared" si="3"/>
        <v xml:space="preserve"> </v>
      </c>
      <c r="Q32" s="75" t="str">
        <f t="shared" si="3"/>
        <v xml:space="preserve"> </v>
      </c>
      <c r="R32" s="75" t="str">
        <f t="shared" si="3"/>
        <v xml:space="preserve"> </v>
      </c>
      <c r="S32" s="75" t="str">
        <f t="shared" si="3"/>
        <v xml:space="preserve"> </v>
      </c>
      <c r="T32" s="75" t="str">
        <f t="shared" si="3"/>
        <v xml:space="preserve"> </v>
      </c>
      <c r="U32" s="75" t="str">
        <f t="shared" si="3"/>
        <v xml:space="preserve"> </v>
      </c>
      <c r="V32" s="75" t="str">
        <f t="shared" si="3"/>
        <v xml:space="preserve"> </v>
      </c>
      <c r="W32" s="75" t="str">
        <f t="shared" si="3"/>
        <v xml:space="preserve"> </v>
      </c>
      <c r="X32" s="75" t="str">
        <f t="shared" si="3"/>
        <v xml:space="preserve"> </v>
      </c>
      <c r="Y32" s="75" t="str">
        <f t="shared" si="3"/>
        <v xml:space="preserve"> </v>
      </c>
      <c r="Z32" s="75" t="str">
        <f t="shared" si="3"/>
        <v xml:space="preserve"> </v>
      </c>
      <c r="AA32" s="75" t="str">
        <f t="shared" si="3"/>
        <v xml:space="preserve"> </v>
      </c>
      <c r="AB32" s="75" t="str">
        <f t="shared" si="3"/>
        <v xml:space="preserve"> </v>
      </c>
      <c r="AC32" s="75" t="str">
        <f t="shared" si="3"/>
        <v xml:space="preserve"> </v>
      </c>
      <c r="AD32" s="75" t="str">
        <f t="shared" si="3"/>
        <v xml:space="preserve"> </v>
      </c>
      <c r="AE32" s="75" t="str">
        <f t="shared" si="3"/>
        <v xml:space="preserve"> </v>
      </c>
      <c r="AF32" s="75" t="str">
        <f t="shared" si="3"/>
        <v xml:space="preserve"> </v>
      </c>
      <c r="AG32" s="75" t="str">
        <f t="shared" si="3"/>
        <v xml:space="preserve"> </v>
      </c>
      <c r="AH32" s="75" t="str">
        <f t="shared" si="3"/>
        <v xml:space="preserve"> </v>
      </c>
      <c r="AI32" s="75" t="str">
        <f t="shared" si="3"/>
        <v xml:space="preserve"> </v>
      </c>
      <c r="AJ32" s="75" t="str">
        <f t="shared" si="3"/>
        <v xml:space="preserve"> </v>
      </c>
      <c r="AK32" s="75" t="str">
        <f t="shared" si="3"/>
        <v xml:space="preserve"> </v>
      </c>
      <c r="AL32" s="75" t="str">
        <f t="shared" si="3"/>
        <v xml:space="preserve"> </v>
      </c>
      <c r="AM32" s="75" t="str">
        <f t="shared" si="3"/>
        <v xml:space="preserve"> </v>
      </c>
      <c r="AN32" s="75" t="str">
        <f t="shared" si="3"/>
        <v xml:space="preserve"> </v>
      </c>
      <c r="AO32" s="75" t="str">
        <f t="shared" si="3"/>
        <v xml:space="preserve"> </v>
      </c>
    </row>
    <row r="33" spans="1:41" ht="15.75" customHeight="1" outlineLevel="1">
      <c r="A33" s="76" t="s">
        <v>74</v>
      </c>
      <c r="B33" s="65"/>
      <c r="C33" s="73"/>
      <c r="D33" s="74">
        <v>0.03</v>
      </c>
      <c r="E33" s="15">
        <f t="shared" si="2"/>
        <v>0</v>
      </c>
      <c r="F33" s="75" t="str">
        <f t="shared" ref="F33:AO33" si="4">IF(AND(F$27&gt;=$C33,$B33&gt;0),($B33+($B33*$D33)+($B33*$E33))," ")</f>
        <v xml:space="preserve"> </v>
      </c>
      <c r="G33" s="75" t="str">
        <f t="shared" si="4"/>
        <v xml:space="preserve"> </v>
      </c>
      <c r="H33" s="75" t="str">
        <f t="shared" si="4"/>
        <v xml:space="preserve"> </v>
      </c>
      <c r="I33" s="75" t="str">
        <f t="shared" si="4"/>
        <v xml:space="preserve"> </v>
      </c>
      <c r="J33" s="75" t="str">
        <f t="shared" si="4"/>
        <v xml:space="preserve"> </v>
      </c>
      <c r="K33" s="75" t="str">
        <f t="shared" si="4"/>
        <v xml:space="preserve"> </v>
      </c>
      <c r="L33" s="75" t="str">
        <f t="shared" si="4"/>
        <v xml:space="preserve"> </v>
      </c>
      <c r="M33" s="75" t="str">
        <f t="shared" si="4"/>
        <v xml:space="preserve"> </v>
      </c>
      <c r="N33" s="75" t="str">
        <f t="shared" si="4"/>
        <v xml:space="preserve"> </v>
      </c>
      <c r="O33" s="75" t="str">
        <f t="shared" si="4"/>
        <v xml:space="preserve"> </v>
      </c>
      <c r="P33" s="75" t="str">
        <f t="shared" si="4"/>
        <v xml:space="preserve"> </v>
      </c>
      <c r="Q33" s="75" t="str">
        <f t="shared" si="4"/>
        <v xml:space="preserve"> </v>
      </c>
      <c r="R33" s="75" t="str">
        <f t="shared" si="4"/>
        <v xml:space="preserve"> </v>
      </c>
      <c r="S33" s="75" t="str">
        <f t="shared" si="4"/>
        <v xml:space="preserve"> </v>
      </c>
      <c r="T33" s="75" t="str">
        <f t="shared" si="4"/>
        <v xml:space="preserve"> </v>
      </c>
      <c r="U33" s="75" t="str">
        <f t="shared" si="4"/>
        <v xml:space="preserve"> </v>
      </c>
      <c r="V33" s="75" t="str">
        <f t="shared" si="4"/>
        <v xml:space="preserve"> </v>
      </c>
      <c r="W33" s="75" t="str">
        <f t="shared" si="4"/>
        <v xml:space="preserve"> </v>
      </c>
      <c r="X33" s="75" t="str">
        <f t="shared" si="4"/>
        <v xml:space="preserve"> </v>
      </c>
      <c r="Y33" s="75" t="str">
        <f t="shared" si="4"/>
        <v xml:space="preserve"> </v>
      </c>
      <c r="Z33" s="75" t="str">
        <f t="shared" si="4"/>
        <v xml:space="preserve"> </v>
      </c>
      <c r="AA33" s="75" t="str">
        <f t="shared" si="4"/>
        <v xml:space="preserve"> </v>
      </c>
      <c r="AB33" s="75" t="str">
        <f t="shared" si="4"/>
        <v xml:space="preserve"> </v>
      </c>
      <c r="AC33" s="75" t="str">
        <f t="shared" si="4"/>
        <v xml:space="preserve"> </v>
      </c>
      <c r="AD33" s="75" t="str">
        <f t="shared" si="4"/>
        <v xml:space="preserve"> </v>
      </c>
      <c r="AE33" s="75" t="str">
        <f t="shared" si="4"/>
        <v xml:space="preserve"> </v>
      </c>
      <c r="AF33" s="75" t="str">
        <f t="shared" si="4"/>
        <v xml:space="preserve"> </v>
      </c>
      <c r="AG33" s="75" t="str">
        <f t="shared" si="4"/>
        <v xml:space="preserve"> </v>
      </c>
      <c r="AH33" s="75" t="str">
        <f t="shared" si="4"/>
        <v xml:space="preserve"> </v>
      </c>
      <c r="AI33" s="75" t="str">
        <f t="shared" si="4"/>
        <v xml:space="preserve"> </v>
      </c>
      <c r="AJ33" s="75" t="str">
        <f t="shared" si="4"/>
        <v xml:space="preserve"> </v>
      </c>
      <c r="AK33" s="75" t="str">
        <f t="shared" si="4"/>
        <v xml:space="preserve"> </v>
      </c>
      <c r="AL33" s="75" t="str">
        <f t="shared" si="4"/>
        <v xml:space="preserve"> </v>
      </c>
      <c r="AM33" s="75" t="str">
        <f t="shared" si="4"/>
        <v xml:space="preserve"> </v>
      </c>
      <c r="AN33" s="75" t="str">
        <f t="shared" si="4"/>
        <v xml:space="preserve"> </v>
      </c>
      <c r="AO33" s="75" t="str">
        <f t="shared" si="4"/>
        <v xml:space="preserve"> </v>
      </c>
    </row>
    <row r="34" spans="1:41" ht="15.75" customHeight="1" outlineLevel="1">
      <c r="A34" s="76" t="s">
        <v>74</v>
      </c>
      <c r="B34" s="65"/>
      <c r="C34" s="73"/>
      <c r="D34" s="74">
        <v>0.03</v>
      </c>
      <c r="E34" s="15">
        <f t="shared" si="2"/>
        <v>0</v>
      </c>
      <c r="F34" s="75" t="str">
        <f t="shared" ref="F34:AO34" si="5">IF(AND(F$27&gt;=$C34,$B34&gt;0),($B34+($B34*$D34)+($B34*$E34))," ")</f>
        <v xml:space="preserve"> </v>
      </c>
      <c r="G34" s="75" t="str">
        <f t="shared" si="5"/>
        <v xml:space="preserve"> </v>
      </c>
      <c r="H34" s="75" t="str">
        <f t="shared" si="5"/>
        <v xml:space="preserve"> </v>
      </c>
      <c r="I34" s="75" t="str">
        <f t="shared" si="5"/>
        <v xml:space="preserve"> </v>
      </c>
      <c r="J34" s="75" t="str">
        <f t="shared" si="5"/>
        <v xml:space="preserve"> </v>
      </c>
      <c r="K34" s="75" t="str">
        <f t="shared" si="5"/>
        <v xml:space="preserve"> </v>
      </c>
      <c r="L34" s="75" t="str">
        <f t="shared" si="5"/>
        <v xml:space="preserve"> </v>
      </c>
      <c r="M34" s="75" t="str">
        <f t="shared" si="5"/>
        <v xml:space="preserve"> </v>
      </c>
      <c r="N34" s="75" t="str">
        <f t="shared" si="5"/>
        <v xml:space="preserve"> </v>
      </c>
      <c r="O34" s="75" t="str">
        <f t="shared" si="5"/>
        <v xml:space="preserve"> </v>
      </c>
      <c r="P34" s="75" t="str">
        <f t="shared" si="5"/>
        <v xml:space="preserve"> </v>
      </c>
      <c r="Q34" s="75" t="str">
        <f t="shared" si="5"/>
        <v xml:space="preserve"> </v>
      </c>
      <c r="R34" s="75" t="str">
        <f t="shared" si="5"/>
        <v xml:space="preserve"> </v>
      </c>
      <c r="S34" s="75" t="str">
        <f t="shared" si="5"/>
        <v xml:space="preserve"> </v>
      </c>
      <c r="T34" s="75" t="str">
        <f t="shared" si="5"/>
        <v xml:space="preserve"> </v>
      </c>
      <c r="U34" s="75" t="str">
        <f t="shared" si="5"/>
        <v xml:space="preserve"> </v>
      </c>
      <c r="V34" s="75" t="str">
        <f t="shared" si="5"/>
        <v xml:space="preserve"> </v>
      </c>
      <c r="W34" s="75" t="str">
        <f t="shared" si="5"/>
        <v xml:space="preserve"> </v>
      </c>
      <c r="X34" s="75" t="str">
        <f t="shared" si="5"/>
        <v xml:space="preserve"> </v>
      </c>
      <c r="Y34" s="75" t="str">
        <f t="shared" si="5"/>
        <v xml:space="preserve"> </v>
      </c>
      <c r="Z34" s="75" t="str">
        <f t="shared" si="5"/>
        <v xml:space="preserve"> </v>
      </c>
      <c r="AA34" s="75" t="str">
        <f t="shared" si="5"/>
        <v xml:space="preserve"> </v>
      </c>
      <c r="AB34" s="75" t="str">
        <f t="shared" si="5"/>
        <v xml:space="preserve"> </v>
      </c>
      <c r="AC34" s="75" t="str">
        <f t="shared" si="5"/>
        <v xml:space="preserve"> </v>
      </c>
      <c r="AD34" s="75" t="str">
        <f t="shared" si="5"/>
        <v xml:space="preserve"> </v>
      </c>
      <c r="AE34" s="75" t="str">
        <f t="shared" si="5"/>
        <v xml:space="preserve"> </v>
      </c>
      <c r="AF34" s="75" t="str">
        <f t="shared" si="5"/>
        <v xml:space="preserve"> </v>
      </c>
      <c r="AG34" s="75" t="str">
        <f t="shared" si="5"/>
        <v xml:space="preserve"> </v>
      </c>
      <c r="AH34" s="75" t="str">
        <f t="shared" si="5"/>
        <v xml:space="preserve"> </v>
      </c>
      <c r="AI34" s="75" t="str">
        <f t="shared" si="5"/>
        <v xml:space="preserve"> </v>
      </c>
      <c r="AJ34" s="75" t="str">
        <f t="shared" si="5"/>
        <v xml:space="preserve"> </v>
      </c>
      <c r="AK34" s="75" t="str">
        <f t="shared" si="5"/>
        <v xml:space="preserve"> </v>
      </c>
      <c r="AL34" s="75" t="str">
        <f t="shared" si="5"/>
        <v xml:space="preserve"> </v>
      </c>
      <c r="AM34" s="75" t="str">
        <f t="shared" si="5"/>
        <v xml:space="preserve"> </v>
      </c>
      <c r="AN34" s="75" t="str">
        <f t="shared" si="5"/>
        <v xml:space="preserve"> </v>
      </c>
      <c r="AO34" s="75" t="str">
        <f t="shared" si="5"/>
        <v xml:space="preserve"> </v>
      </c>
    </row>
    <row r="35" spans="1:41" ht="15.75" customHeight="1" outlineLevel="1">
      <c r="A35" s="76" t="s">
        <v>74</v>
      </c>
      <c r="B35" s="65"/>
      <c r="C35" s="77"/>
      <c r="D35" s="74">
        <v>0.03</v>
      </c>
      <c r="E35" s="15">
        <f t="shared" si="2"/>
        <v>0</v>
      </c>
      <c r="F35" s="75" t="str">
        <f t="shared" ref="F35:AO35" si="6">IF(AND(F$27&gt;=$C35,$B35&gt;0),($B35+($B35*$D35)+($B35*$E35))," ")</f>
        <v xml:space="preserve"> </v>
      </c>
      <c r="G35" s="75" t="str">
        <f t="shared" si="6"/>
        <v xml:space="preserve"> </v>
      </c>
      <c r="H35" s="75" t="str">
        <f t="shared" si="6"/>
        <v xml:space="preserve"> </v>
      </c>
      <c r="I35" s="75" t="str">
        <f t="shared" si="6"/>
        <v xml:space="preserve"> </v>
      </c>
      <c r="J35" s="75" t="str">
        <f t="shared" si="6"/>
        <v xml:space="preserve"> </v>
      </c>
      <c r="K35" s="75" t="str">
        <f t="shared" si="6"/>
        <v xml:space="preserve"> </v>
      </c>
      <c r="L35" s="75" t="str">
        <f t="shared" si="6"/>
        <v xml:space="preserve"> </v>
      </c>
      <c r="M35" s="75" t="str">
        <f t="shared" si="6"/>
        <v xml:space="preserve"> </v>
      </c>
      <c r="N35" s="75" t="str">
        <f t="shared" si="6"/>
        <v xml:space="preserve"> </v>
      </c>
      <c r="O35" s="75" t="str">
        <f t="shared" si="6"/>
        <v xml:space="preserve"> </v>
      </c>
      <c r="P35" s="75" t="str">
        <f t="shared" si="6"/>
        <v xml:space="preserve"> </v>
      </c>
      <c r="Q35" s="75" t="str">
        <f t="shared" si="6"/>
        <v xml:space="preserve"> </v>
      </c>
      <c r="R35" s="75" t="str">
        <f t="shared" si="6"/>
        <v xml:space="preserve"> </v>
      </c>
      <c r="S35" s="75" t="str">
        <f t="shared" si="6"/>
        <v xml:space="preserve"> </v>
      </c>
      <c r="T35" s="75" t="str">
        <f t="shared" si="6"/>
        <v xml:space="preserve"> </v>
      </c>
      <c r="U35" s="75" t="str">
        <f t="shared" si="6"/>
        <v xml:space="preserve"> </v>
      </c>
      <c r="V35" s="75" t="str">
        <f t="shared" si="6"/>
        <v xml:space="preserve"> </v>
      </c>
      <c r="W35" s="75" t="str">
        <f t="shared" si="6"/>
        <v xml:space="preserve"> </v>
      </c>
      <c r="X35" s="75" t="str">
        <f t="shared" si="6"/>
        <v xml:space="preserve"> </v>
      </c>
      <c r="Y35" s="75" t="str">
        <f t="shared" si="6"/>
        <v xml:space="preserve"> </v>
      </c>
      <c r="Z35" s="75" t="str">
        <f t="shared" si="6"/>
        <v xml:space="preserve"> </v>
      </c>
      <c r="AA35" s="75" t="str">
        <f t="shared" si="6"/>
        <v xml:space="preserve"> </v>
      </c>
      <c r="AB35" s="75" t="str">
        <f t="shared" si="6"/>
        <v xml:space="preserve"> </v>
      </c>
      <c r="AC35" s="75" t="str">
        <f t="shared" si="6"/>
        <v xml:space="preserve"> </v>
      </c>
      <c r="AD35" s="75" t="str">
        <f t="shared" si="6"/>
        <v xml:space="preserve"> </v>
      </c>
      <c r="AE35" s="75" t="str">
        <f t="shared" si="6"/>
        <v xml:space="preserve"> </v>
      </c>
      <c r="AF35" s="75" t="str">
        <f t="shared" si="6"/>
        <v xml:space="preserve"> </v>
      </c>
      <c r="AG35" s="75" t="str">
        <f t="shared" si="6"/>
        <v xml:space="preserve"> </v>
      </c>
      <c r="AH35" s="75" t="str">
        <f t="shared" si="6"/>
        <v xml:space="preserve"> </v>
      </c>
      <c r="AI35" s="75" t="str">
        <f t="shared" si="6"/>
        <v xml:space="preserve"> </v>
      </c>
      <c r="AJ35" s="75" t="str">
        <f t="shared" si="6"/>
        <v xml:space="preserve"> </v>
      </c>
      <c r="AK35" s="75" t="str">
        <f t="shared" si="6"/>
        <v xml:space="preserve"> </v>
      </c>
      <c r="AL35" s="75" t="str">
        <f t="shared" si="6"/>
        <v xml:space="preserve"> </v>
      </c>
      <c r="AM35" s="75" t="str">
        <f t="shared" si="6"/>
        <v xml:space="preserve"> </v>
      </c>
      <c r="AN35" s="75" t="str">
        <f t="shared" si="6"/>
        <v xml:space="preserve"> </v>
      </c>
      <c r="AO35" s="75" t="str">
        <f t="shared" si="6"/>
        <v xml:space="preserve"> </v>
      </c>
    </row>
    <row r="36" spans="1:41" ht="15.75" customHeight="1" outlineLevel="1">
      <c r="A36" s="11" t="s">
        <v>76</v>
      </c>
      <c r="B36" s="65"/>
      <c r="C36" s="73"/>
      <c r="D36" s="74">
        <v>0.03</v>
      </c>
      <c r="E36" s="15">
        <f t="shared" si="2"/>
        <v>0</v>
      </c>
      <c r="F36" s="78"/>
      <c r="G36" s="78"/>
      <c r="H36" s="78"/>
      <c r="I36" s="78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</row>
    <row r="37" spans="1:41" ht="15.75" customHeight="1" outlineLevel="1">
      <c r="A37" s="76" t="s">
        <v>74</v>
      </c>
      <c r="B37" s="65"/>
      <c r="C37" s="73"/>
      <c r="D37" s="74">
        <v>0.03</v>
      </c>
      <c r="E37" s="15">
        <f t="shared" si="2"/>
        <v>0</v>
      </c>
      <c r="F37" s="75" t="str">
        <f t="shared" ref="F37:AO37" si="7">IF(AND(F$27&gt;=$C37,$B37&gt;0),($B37+($B37*$D37)+($B37*$E37))," ")</f>
        <v xml:space="preserve"> </v>
      </c>
      <c r="G37" s="75" t="str">
        <f t="shared" si="7"/>
        <v xml:space="preserve"> </v>
      </c>
      <c r="H37" s="75" t="str">
        <f t="shared" si="7"/>
        <v xml:space="preserve"> </v>
      </c>
      <c r="I37" s="75" t="str">
        <f t="shared" si="7"/>
        <v xml:space="preserve"> </v>
      </c>
      <c r="J37" s="75" t="str">
        <f t="shared" si="7"/>
        <v xml:space="preserve"> </v>
      </c>
      <c r="K37" s="75" t="str">
        <f t="shared" si="7"/>
        <v xml:space="preserve"> </v>
      </c>
      <c r="L37" s="75" t="str">
        <f t="shared" si="7"/>
        <v xml:space="preserve"> </v>
      </c>
      <c r="M37" s="75" t="str">
        <f t="shared" si="7"/>
        <v xml:space="preserve"> </v>
      </c>
      <c r="N37" s="75" t="str">
        <f t="shared" si="7"/>
        <v xml:space="preserve"> </v>
      </c>
      <c r="O37" s="75" t="str">
        <f t="shared" si="7"/>
        <v xml:space="preserve"> </v>
      </c>
      <c r="P37" s="75" t="str">
        <f t="shared" si="7"/>
        <v xml:space="preserve"> </v>
      </c>
      <c r="Q37" s="75" t="str">
        <f t="shared" si="7"/>
        <v xml:space="preserve"> </v>
      </c>
      <c r="R37" s="75" t="str">
        <f t="shared" si="7"/>
        <v xml:space="preserve"> </v>
      </c>
      <c r="S37" s="75" t="str">
        <f t="shared" si="7"/>
        <v xml:space="preserve"> </v>
      </c>
      <c r="T37" s="75" t="str">
        <f t="shared" si="7"/>
        <v xml:space="preserve"> </v>
      </c>
      <c r="U37" s="75" t="str">
        <f t="shared" si="7"/>
        <v xml:space="preserve"> </v>
      </c>
      <c r="V37" s="75" t="str">
        <f t="shared" si="7"/>
        <v xml:space="preserve"> </v>
      </c>
      <c r="W37" s="75" t="str">
        <f t="shared" si="7"/>
        <v xml:space="preserve"> </v>
      </c>
      <c r="X37" s="75" t="str">
        <f t="shared" si="7"/>
        <v xml:space="preserve"> </v>
      </c>
      <c r="Y37" s="75" t="str">
        <f t="shared" si="7"/>
        <v xml:space="preserve"> </v>
      </c>
      <c r="Z37" s="75" t="str">
        <f t="shared" si="7"/>
        <v xml:space="preserve"> </v>
      </c>
      <c r="AA37" s="75" t="str">
        <f t="shared" si="7"/>
        <v xml:space="preserve"> </v>
      </c>
      <c r="AB37" s="75" t="str">
        <f t="shared" si="7"/>
        <v xml:space="preserve"> </v>
      </c>
      <c r="AC37" s="75" t="str">
        <f t="shared" si="7"/>
        <v xml:space="preserve"> </v>
      </c>
      <c r="AD37" s="75" t="str">
        <f t="shared" si="7"/>
        <v xml:space="preserve"> </v>
      </c>
      <c r="AE37" s="75" t="str">
        <f t="shared" si="7"/>
        <v xml:space="preserve"> </v>
      </c>
      <c r="AF37" s="75" t="str">
        <f t="shared" si="7"/>
        <v xml:space="preserve"> </v>
      </c>
      <c r="AG37" s="75" t="str">
        <f t="shared" si="7"/>
        <v xml:space="preserve"> </v>
      </c>
      <c r="AH37" s="75" t="str">
        <f t="shared" si="7"/>
        <v xml:space="preserve"> </v>
      </c>
      <c r="AI37" s="75" t="str">
        <f t="shared" si="7"/>
        <v xml:space="preserve"> </v>
      </c>
      <c r="AJ37" s="75" t="str">
        <f t="shared" si="7"/>
        <v xml:space="preserve"> </v>
      </c>
      <c r="AK37" s="75" t="str">
        <f t="shared" si="7"/>
        <v xml:space="preserve"> </v>
      </c>
      <c r="AL37" s="75" t="str">
        <f t="shared" si="7"/>
        <v xml:space="preserve"> </v>
      </c>
      <c r="AM37" s="75" t="str">
        <f t="shared" si="7"/>
        <v xml:space="preserve"> </v>
      </c>
      <c r="AN37" s="75" t="str">
        <f t="shared" si="7"/>
        <v xml:space="preserve"> </v>
      </c>
      <c r="AO37" s="75" t="str">
        <f t="shared" si="7"/>
        <v xml:space="preserve"> </v>
      </c>
    </row>
    <row r="38" spans="1:41" ht="15.75" customHeight="1" outlineLevel="1">
      <c r="A38" s="76" t="s">
        <v>74</v>
      </c>
      <c r="B38" s="65"/>
      <c r="C38" s="73"/>
      <c r="D38" s="74">
        <v>0.03</v>
      </c>
      <c r="E38" s="15">
        <f t="shared" si="2"/>
        <v>0</v>
      </c>
      <c r="F38" s="75" t="str">
        <f t="shared" ref="F38:AO38" si="8">IF(AND(F$27&gt;=$C38,$B38&gt;0),($B38+($B38*$D38)+($B38*$E38))," ")</f>
        <v xml:space="preserve"> </v>
      </c>
      <c r="G38" s="75" t="str">
        <f t="shared" si="8"/>
        <v xml:space="preserve"> </v>
      </c>
      <c r="H38" s="75" t="str">
        <f t="shared" si="8"/>
        <v xml:space="preserve"> </v>
      </c>
      <c r="I38" s="75" t="str">
        <f t="shared" si="8"/>
        <v xml:space="preserve"> </v>
      </c>
      <c r="J38" s="75" t="str">
        <f t="shared" si="8"/>
        <v xml:space="preserve"> </v>
      </c>
      <c r="K38" s="75" t="str">
        <f t="shared" si="8"/>
        <v xml:space="preserve"> </v>
      </c>
      <c r="L38" s="75" t="str">
        <f t="shared" si="8"/>
        <v xml:space="preserve"> </v>
      </c>
      <c r="M38" s="75" t="str">
        <f t="shared" si="8"/>
        <v xml:space="preserve"> </v>
      </c>
      <c r="N38" s="75" t="str">
        <f t="shared" si="8"/>
        <v xml:space="preserve"> </v>
      </c>
      <c r="O38" s="75" t="str">
        <f t="shared" si="8"/>
        <v xml:space="preserve"> </v>
      </c>
      <c r="P38" s="75" t="str">
        <f t="shared" si="8"/>
        <v xml:space="preserve"> </v>
      </c>
      <c r="Q38" s="75" t="str">
        <f t="shared" si="8"/>
        <v xml:space="preserve"> </v>
      </c>
      <c r="R38" s="75" t="str">
        <f t="shared" si="8"/>
        <v xml:space="preserve"> </v>
      </c>
      <c r="S38" s="75" t="str">
        <f t="shared" si="8"/>
        <v xml:space="preserve"> </v>
      </c>
      <c r="T38" s="75" t="str">
        <f t="shared" si="8"/>
        <v xml:space="preserve"> </v>
      </c>
      <c r="U38" s="75" t="str">
        <f t="shared" si="8"/>
        <v xml:space="preserve"> </v>
      </c>
      <c r="V38" s="75" t="str">
        <f t="shared" si="8"/>
        <v xml:space="preserve"> </v>
      </c>
      <c r="W38" s="75" t="str">
        <f t="shared" si="8"/>
        <v xml:space="preserve"> </v>
      </c>
      <c r="X38" s="75" t="str">
        <f t="shared" si="8"/>
        <v xml:space="preserve"> </v>
      </c>
      <c r="Y38" s="75" t="str">
        <f t="shared" si="8"/>
        <v xml:space="preserve"> </v>
      </c>
      <c r="Z38" s="75" t="str">
        <f t="shared" si="8"/>
        <v xml:space="preserve"> </v>
      </c>
      <c r="AA38" s="75" t="str">
        <f t="shared" si="8"/>
        <v xml:space="preserve"> </v>
      </c>
      <c r="AB38" s="75" t="str">
        <f t="shared" si="8"/>
        <v xml:space="preserve"> </v>
      </c>
      <c r="AC38" s="75" t="str">
        <f t="shared" si="8"/>
        <v xml:space="preserve"> </v>
      </c>
      <c r="AD38" s="75" t="str">
        <f t="shared" si="8"/>
        <v xml:space="preserve"> </v>
      </c>
      <c r="AE38" s="75" t="str">
        <f t="shared" si="8"/>
        <v xml:space="preserve"> </v>
      </c>
      <c r="AF38" s="75" t="str">
        <f t="shared" si="8"/>
        <v xml:space="preserve"> </v>
      </c>
      <c r="AG38" s="75" t="str">
        <f t="shared" si="8"/>
        <v xml:space="preserve"> </v>
      </c>
      <c r="AH38" s="75" t="str">
        <f t="shared" si="8"/>
        <v xml:space="preserve"> </v>
      </c>
      <c r="AI38" s="75" t="str">
        <f t="shared" si="8"/>
        <v xml:space="preserve"> </v>
      </c>
      <c r="AJ38" s="75" t="str">
        <f t="shared" si="8"/>
        <v xml:space="preserve"> </v>
      </c>
      <c r="AK38" s="75" t="str">
        <f t="shared" si="8"/>
        <v xml:space="preserve"> </v>
      </c>
      <c r="AL38" s="75" t="str">
        <f t="shared" si="8"/>
        <v xml:space="preserve"> </v>
      </c>
      <c r="AM38" s="75" t="str">
        <f t="shared" si="8"/>
        <v xml:space="preserve"> </v>
      </c>
      <c r="AN38" s="75" t="str">
        <f t="shared" si="8"/>
        <v xml:space="preserve"> </v>
      </c>
      <c r="AO38" s="75" t="str">
        <f t="shared" si="8"/>
        <v xml:space="preserve"> </v>
      </c>
    </row>
    <row r="39" spans="1:41" ht="15.75" customHeight="1" outlineLevel="1">
      <c r="A39" s="76" t="s">
        <v>74</v>
      </c>
      <c r="B39" s="65"/>
      <c r="C39" s="77"/>
      <c r="D39" s="74">
        <v>0.03</v>
      </c>
      <c r="E39" s="15">
        <f t="shared" si="2"/>
        <v>0</v>
      </c>
      <c r="F39" s="75" t="str">
        <f t="shared" ref="F39:AO39" si="9">IF(AND(F$27&gt;=$C39,$B39&gt;0),($B39+($B39*$D39)+($B39*$E39))," ")</f>
        <v xml:space="preserve"> </v>
      </c>
      <c r="G39" s="75" t="str">
        <f t="shared" si="9"/>
        <v xml:space="preserve"> </v>
      </c>
      <c r="H39" s="75" t="str">
        <f t="shared" si="9"/>
        <v xml:space="preserve"> </v>
      </c>
      <c r="I39" s="75" t="str">
        <f t="shared" si="9"/>
        <v xml:space="preserve"> </v>
      </c>
      <c r="J39" s="75" t="str">
        <f t="shared" si="9"/>
        <v xml:space="preserve"> </v>
      </c>
      <c r="K39" s="75" t="str">
        <f t="shared" si="9"/>
        <v xml:space="preserve"> </v>
      </c>
      <c r="L39" s="75" t="str">
        <f t="shared" si="9"/>
        <v xml:space="preserve"> </v>
      </c>
      <c r="M39" s="75" t="str">
        <f t="shared" si="9"/>
        <v xml:space="preserve"> </v>
      </c>
      <c r="N39" s="75" t="str">
        <f t="shared" si="9"/>
        <v xml:space="preserve"> </v>
      </c>
      <c r="O39" s="75" t="str">
        <f t="shared" si="9"/>
        <v xml:space="preserve"> </v>
      </c>
      <c r="P39" s="75" t="str">
        <f t="shared" si="9"/>
        <v xml:space="preserve"> </v>
      </c>
      <c r="Q39" s="75" t="str">
        <f t="shared" si="9"/>
        <v xml:space="preserve"> </v>
      </c>
      <c r="R39" s="75" t="str">
        <f t="shared" si="9"/>
        <v xml:space="preserve"> </v>
      </c>
      <c r="S39" s="75" t="str">
        <f t="shared" si="9"/>
        <v xml:space="preserve"> </v>
      </c>
      <c r="T39" s="75" t="str">
        <f t="shared" si="9"/>
        <v xml:space="preserve"> </v>
      </c>
      <c r="U39" s="75" t="str">
        <f t="shared" si="9"/>
        <v xml:space="preserve"> </v>
      </c>
      <c r="V39" s="75" t="str">
        <f t="shared" si="9"/>
        <v xml:space="preserve"> </v>
      </c>
      <c r="W39" s="75" t="str">
        <f t="shared" si="9"/>
        <v xml:space="preserve"> </v>
      </c>
      <c r="X39" s="75" t="str">
        <f t="shared" si="9"/>
        <v xml:space="preserve"> </v>
      </c>
      <c r="Y39" s="75" t="str">
        <f t="shared" si="9"/>
        <v xml:space="preserve"> </v>
      </c>
      <c r="Z39" s="75" t="str">
        <f t="shared" si="9"/>
        <v xml:space="preserve"> </v>
      </c>
      <c r="AA39" s="75" t="str">
        <f t="shared" si="9"/>
        <v xml:space="preserve"> </v>
      </c>
      <c r="AB39" s="75" t="str">
        <f t="shared" si="9"/>
        <v xml:space="preserve"> </v>
      </c>
      <c r="AC39" s="75" t="str">
        <f t="shared" si="9"/>
        <v xml:space="preserve"> </v>
      </c>
      <c r="AD39" s="75" t="str">
        <f t="shared" si="9"/>
        <v xml:space="preserve"> </v>
      </c>
      <c r="AE39" s="75" t="str">
        <f t="shared" si="9"/>
        <v xml:space="preserve"> </v>
      </c>
      <c r="AF39" s="75" t="str">
        <f t="shared" si="9"/>
        <v xml:space="preserve"> </v>
      </c>
      <c r="AG39" s="75" t="str">
        <f t="shared" si="9"/>
        <v xml:space="preserve"> </v>
      </c>
      <c r="AH39" s="75" t="str">
        <f t="shared" si="9"/>
        <v xml:space="preserve"> </v>
      </c>
      <c r="AI39" s="75" t="str">
        <f t="shared" si="9"/>
        <v xml:space="preserve"> </v>
      </c>
      <c r="AJ39" s="75" t="str">
        <f t="shared" si="9"/>
        <v xml:space="preserve"> </v>
      </c>
      <c r="AK39" s="75" t="str">
        <f t="shared" si="9"/>
        <v xml:space="preserve"> </v>
      </c>
      <c r="AL39" s="75" t="str">
        <f t="shared" si="9"/>
        <v xml:space="preserve"> </v>
      </c>
      <c r="AM39" s="75" t="str">
        <f t="shared" si="9"/>
        <v xml:space="preserve"> </v>
      </c>
      <c r="AN39" s="75" t="str">
        <f t="shared" si="9"/>
        <v xml:space="preserve"> </v>
      </c>
      <c r="AO39" s="75" t="str">
        <f t="shared" si="9"/>
        <v xml:space="preserve"> </v>
      </c>
    </row>
    <row r="40" spans="1:41" ht="15.75" customHeight="1" outlineLevel="1">
      <c r="A40" s="76" t="s">
        <v>74</v>
      </c>
      <c r="B40" s="62"/>
      <c r="C40" s="77"/>
      <c r="D40" s="74">
        <v>0.03</v>
      </c>
      <c r="E40" s="15">
        <f t="shared" si="2"/>
        <v>0</v>
      </c>
      <c r="F40" s="75" t="str">
        <f t="shared" ref="F40:AO40" si="10">IF(AND(F$27&gt;=$C40,$B40&gt;0),($B40+($B40*$D40)+($B40*$E40))," ")</f>
        <v xml:space="preserve"> </v>
      </c>
      <c r="G40" s="75" t="str">
        <f t="shared" si="10"/>
        <v xml:space="preserve"> </v>
      </c>
      <c r="H40" s="75" t="str">
        <f t="shared" si="10"/>
        <v xml:space="preserve"> </v>
      </c>
      <c r="I40" s="75" t="str">
        <f t="shared" si="10"/>
        <v xml:space="preserve"> </v>
      </c>
      <c r="J40" s="75" t="str">
        <f t="shared" si="10"/>
        <v xml:space="preserve"> </v>
      </c>
      <c r="K40" s="75" t="str">
        <f t="shared" si="10"/>
        <v xml:space="preserve"> </v>
      </c>
      <c r="L40" s="75" t="str">
        <f t="shared" si="10"/>
        <v xml:space="preserve"> </v>
      </c>
      <c r="M40" s="75" t="str">
        <f t="shared" si="10"/>
        <v xml:space="preserve"> </v>
      </c>
      <c r="N40" s="75" t="str">
        <f t="shared" si="10"/>
        <v xml:space="preserve"> </v>
      </c>
      <c r="O40" s="75" t="str">
        <f t="shared" si="10"/>
        <v xml:space="preserve"> </v>
      </c>
      <c r="P40" s="75" t="str">
        <f t="shared" si="10"/>
        <v xml:space="preserve"> </v>
      </c>
      <c r="Q40" s="75" t="str">
        <f t="shared" si="10"/>
        <v xml:space="preserve"> </v>
      </c>
      <c r="R40" s="75" t="str">
        <f t="shared" si="10"/>
        <v xml:space="preserve"> </v>
      </c>
      <c r="S40" s="75" t="str">
        <f t="shared" si="10"/>
        <v xml:space="preserve"> </v>
      </c>
      <c r="T40" s="75" t="str">
        <f t="shared" si="10"/>
        <v xml:space="preserve"> </v>
      </c>
      <c r="U40" s="75" t="str">
        <f t="shared" si="10"/>
        <v xml:space="preserve"> </v>
      </c>
      <c r="V40" s="75" t="str">
        <f t="shared" si="10"/>
        <v xml:space="preserve"> </v>
      </c>
      <c r="W40" s="75" t="str">
        <f t="shared" si="10"/>
        <v xml:space="preserve"> </v>
      </c>
      <c r="X40" s="75" t="str">
        <f t="shared" si="10"/>
        <v xml:space="preserve"> </v>
      </c>
      <c r="Y40" s="75" t="str">
        <f t="shared" si="10"/>
        <v xml:space="preserve"> </v>
      </c>
      <c r="Z40" s="75" t="str">
        <f t="shared" si="10"/>
        <v xml:space="preserve"> </v>
      </c>
      <c r="AA40" s="75" t="str">
        <f t="shared" si="10"/>
        <v xml:space="preserve"> </v>
      </c>
      <c r="AB40" s="75" t="str">
        <f t="shared" si="10"/>
        <v xml:space="preserve"> </v>
      </c>
      <c r="AC40" s="75" t="str">
        <f t="shared" si="10"/>
        <v xml:space="preserve"> </v>
      </c>
      <c r="AD40" s="75" t="str">
        <f t="shared" si="10"/>
        <v xml:space="preserve"> </v>
      </c>
      <c r="AE40" s="75" t="str">
        <f t="shared" si="10"/>
        <v xml:space="preserve"> </v>
      </c>
      <c r="AF40" s="75" t="str">
        <f t="shared" si="10"/>
        <v xml:space="preserve"> </v>
      </c>
      <c r="AG40" s="75" t="str">
        <f t="shared" si="10"/>
        <v xml:space="preserve"> </v>
      </c>
      <c r="AH40" s="75" t="str">
        <f t="shared" si="10"/>
        <v xml:space="preserve"> </v>
      </c>
      <c r="AI40" s="75" t="str">
        <f t="shared" si="10"/>
        <v xml:space="preserve"> </v>
      </c>
      <c r="AJ40" s="75" t="str">
        <f t="shared" si="10"/>
        <v xml:space="preserve"> </v>
      </c>
      <c r="AK40" s="75" t="str">
        <f t="shared" si="10"/>
        <v xml:space="preserve"> </v>
      </c>
      <c r="AL40" s="75" t="str">
        <f t="shared" si="10"/>
        <v xml:space="preserve"> </v>
      </c>
      <c r="AM40" s="75" t="str">
        <f t="shared" si="10"/>
        <v xml:space="preserve"> </v>
      </c>
      <c r="AN40" s="75" t="str">
        <f t="shared" si="10"/>
        <v xml:space="preserve"> </v>
      </c>
      <c r="AO40" s="75" t="str">
        <f t="shared" si="10"/>
        <v xml:space="preserve"> </v>
      </c>
    </row>
    <row r="41" spans="1:41" ht="15.75" customHeight="1" outlineLevel="1">
      <c r="A41" s="76" t="s">
        <v>74</v>
      </c>
      <c r="B41" s="62"/>
      <c r="C41" s="77"/>
      <c r="D41" s="74">
        <v>0.03</v>
      </c>
      <c r="E41" s="15">
        <f t="shared" si="2"/>
        <v>0</v>
      </c>
      <c r="F41" s="75" t="str">
        <f t="shared" ref="F41:AO41" si="11">IF(AND(F$27&gt;=$C41,$B41&gt;0),($B41+($B41*$D41)+($B41*$E41))," ")</f>
        <v xml:space="preserve"> </v>
      </c>
      <c r="G41" s="75" t="str">
        <f t="shared" si="11"/>
        <v xml:space="preserve"> </v>
      </c>
      <c r="H41" s="75" t="str">
        <f t="shared" si="11"/>
        <v xml:space="preserve"> </v>
      </c>
      <c r="I41" s="75" t="str">
        <f t="shared" si="11"/>
        <v xml:space="preserve"> </v>
      </c>
      <c r="J41" s="75" t="str">
        <f t="shared" si="11"/>
        <v xml:space="preserve"> </v>
      </c>
      <c r="K41" s="75" t="str">
        <f t="shared" si="11"/>
        <v xml:space="preserve"> </v>
      </c>
      <c r="L41" s="75" t="str">
        <f t="shared" si="11"/>
        <v xml:space="preserve"> </v>
      </c>
      <c r="M41" s="75" t="str">
        <f t="shared" si="11"/>
        <v xml:space="preserve"> </v>
      </c>
      <c r="N41" s="75" t="str">
        <f t="shared" si="11"/>
        <v xml:space="preserve"> </v>
      </c>
      <c r="O41" s="75" t="str">
        <f t="shared" si="11"/>
        <v xml:space="preserve"> </v>
      </c>
      <c r="P41" s="75" t="str">
        <f t="shared" si="11"/>
        <v xml:space="preserve"> </v>
      </c>
      <c r="Q41" s="75" t="str">
        <f t="shared" si="11"/>
        <v xml:space="preserve"> </v>
      </c>
      <c r="R41" s="75" t="str">
        <f t="shared" si="11"/>
        <v xml:space="preserve"> </v>
      </c>
      <c r="S41" s="75" t="str">
        <f t="shared" si="11"/>
        <v xml:space="preserve"> </v>
      </c>
      <c r="T41" s="75" t="str">
        <f t="shared" si="11"/>
        <v xml:space="preserve"> </v>
      </c>
      <c r="U41" s="75" t="str">
        <f t="shared" si="11"/>
        <v xml:space="preserve"> </v>
      </c>
      <c r="V41" s="75" t="str">
        <f t="shared" si="11"/>
        <v xml:space="preserve"> </v>
      </c>
      <c r="W41" s="75" t="str">
        <f t="shared" si="11"/>
        <v xml:space="preserve"> </v>
      </c>
      <c r="X41" s="75" t="str">
        <f t="shared" si="11"/>
        <v xml:space="preserve"> </v>
      </c>
      <c r="Y41" s="75" t="str">
        <f t="shared" si="11"/>
        <v xml:space="preserve"> </v>
      </c>
      <c r="Z41" s="75" t="str">
        <f t="shared" si="11"/>
        <v xml:space="preserve"> </v>
      </c>
      <c r="AA41" s="75" t="str">
        <f t="shared" si="11"/>
        <v xml:space="preserve"> </v>
      </c>
      <c r="AB41" s="75" t="str">
        <f t="shared" si="11"/>
        <v xml:space="preserve"> </v>
      </c>
      <c r="AC41" s="75" t="str">
        <f t="shared" si="11"/>
        <v xml:space="preserve"> </v>
      </c>
      <c r="AD41" s="75" t="str">
        <f t="shared" si="11"/>
        <v xml:space="preserve"> </v>
      </c>
      <c r="AE41" s="75" t="str">
        <f t="shared" si="11"/>
        <v xml:space="preserve"> </v>
      </c>
      <c r="AF41" s="75" t="str">
        <f t="shared" si="11"/>
        <v xml:space="preserve"> </v>
      </c>
      <c r="AG41" s="75" t="str">
        <f t="shared" si="11"/>
        <v xml:space="preserve"> </v>
      </c>
      <c r="AH41" s="75" t="str">
        <f t="shared" si="11"/>
        <v xml:space="preserve"> </v>
      </c>
      <c r="AI41" s="75" t="str">
        <f t="shared" si="11"/>
        <v xml:space="preserve"> </v>
      </c>
      <c r="AJ41" s="75" t="str">
        <f t="shared" si="11"/>
        <v xml:space="preserve"> </v>
      </c>
      <c r="AK41" s="75" t="str">
        <f t="shared" si="11"/>
        <v xml:space="preserve"> </v>
      </c>
      <c r="AL41" s="75" t="str">
        <f t="shared" si="11"/>
        <v xml:space="preserve"> </v>
      </c>
      <c r="AM41" s="75" t="str">
        <f t="shared" si="11"/>
        <v xml:space="preserve"> </v>
      </c>
      <c r="AN41" s="75" t="str">
        <f t="shared" si="11"/>
        <v xml:space="preserve"> </v>
      </c>
      <c r="AO41" s="75" t="str">
        <f t="shared" si="11"/>
        <v xml:space="preserve"> </v>
      </c>
    </row>
    <row r="42" spans="1:41" ht="15.75" customHeight="1">
      <c r="A42" s="68" t="s">
        <v>77</v>
      </c>
      <c r="B42" s="69"/>
      <c r="C42" s="69"/>
      <c r="D42" s="69"/>
      <c r="E42" s="69"/>
      <c r="F42" s="70">
        <f t="shared" ref="F42:AO42" si="12">SUM(F28:F41)</f>
        <v>0</v>
      </c>
      <c r="G42" s="70">
        <f t="shared" si="12"/>
        <v>13081.6</v>
      </c>
      <c r="H42" s="70">
        <f t="shared" si="12"/>
        <v>13081.6</v>
      </c>
      <c r="I42" s="70">
        <f t="shared" si="12"/>
        <v>13081.6</v>
      </c>
      <c r="J42" s="70">
        <f t="shared" si="12"/>
        <v>13081.6</v>
      </c>
      <c r="K42" s="70">
        <f t="shared" si="12"/>
        <v>13081.6</v>
      </c>
      <c r="L42" s="70">
        <f t="shared" si="12"/>
        <v>13081.6</v>
      </c>
      <c r="M42" s="70">
        <f t="shared" si="12"/>
        <v>13081.6</v>
      </c>
      <c r="N42" s="70">
        <f t="shared" si="12"/>
        <v>13081.6</v>
      </c>
      <c r="O42" s="70">
        <f t="shared" si="12"/>
        <v>13081.6</v>
      </c>
      <c r="P42" s="70">
        <f t="shared" si="12"/>
        <v>13081.6</v>
      </c>
      <c r="Q42" s="70">
        <f t="shared" si="12"/>
        <v>13081.6</v>
      </c>
      <c r="R42" s="70">
        <f t="shared" si="12"/>
        <v>13081.6</v>
      </c>
      <c r="S42" s="70">
        <f t="shared" si="12"/>
        <v>13081.6</v>
      </c>
      <c r="T42" s="70">
        <f t="shared" si="12"/>
        <v>13081.6</v>
      </c>
      <c r="U42" s="70">
        <f t="shared" si="12"/>
        <v>13081.6</v>
      </c>
      <c r="V42" s="70">
        <f t="shared" si="12"/>
        <v>13081.6</v>
      </c>
      <c r="W42" s="70">
        <f t="shared" si="12"/>
        <v>13081.6</v>
      </c>
      <c r="X42" s="70">
        <f t="shared" si="12"/>
        <v>13081.6</v>
      </c>
      <c r="Y42" s="70">
        <f t="shared" si="12"/>
        <v>13081.6</v>
      </c>
      <c r="Z42" s="70">
        <f t="shared" si="12"/>
        <v>13081.6</v>
      </c>
      <c r="AA42" s="70">
        <f t="shared" si="12"/>
        <v>13081.6</v>
      </c>
      <c r="AB42" s="70">
        <f t="shared" si="12"/>
        <v>13081.6</v>
      </c>
      <c r="AC42" s="70">
        <f t="shared" si="12"/>
        <v>13081.6</v>
      </c>
      <c r="AD42" s="70">
        <f t="shared" si="12"/>
        <v>13081.6</v>
      </c>
      <c r="AE42" s="70">
        <f t="shared" si="12"/>
        <v>13081.6</v>
      </c>
      <c r="AF42" s="70">
        <f t="shared" si="12"/>
        <v>13081.6</v>
      </c>
      <c r="AG42" s="70">
        <f t="shared" si="12"/>
        <v>13081.6</v>
      </c>
      <c r="AH42" s="70">
        <f t="shared" si="12"/>
        <v>13081.6</v>
      </c>
      <c r="AI42" s="70">
        <f t="shared" si="12"/>
        <v>13081.6</v>
      </c>
      <c r="AJ42" s="70">
        <f t="shared" si="12"/>
        <v>13081.6</v>
      </c>
      <c r="AK42" s="70">
        <f t="shared" si="12"/>
        <v>13081.6</v>
      </c>
      <c r="AL42" s="70">
        <f t="shared" si="12"/>
        <v>13081.6</v>
      </c>
      <c r="AM42" s="70">
        <f t="shared" si="12"/>
        <v>13081.6</v>
      </c>
      <c r="AN42" s="70">
        <f t="shared" si="12"/>
        <v>13081.6</v>
      </c>
      <c r="AO42" s="70">
        <f t="shared" si="12"/>
        <v>13081.6</v>
      </c>
    </row>
    <row r="43" spans="1:41" ht="15.75" customHeight="1">
      <c r="A43" s="79"/>
      <c r="B43" s="80"/>
      <c r="C43" s="80"/>
      <c r="D43" s="42"/>
      <c r="E43" s="42"/>
      <c r="F43" s="54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</row>
    <row r="44" spans="1:41" ht="15.75" customHeight="1">
      <c r="A44" s="60" t="s">
        <v>78</v>
      </c>
      <c r="B44" s="60"/>
      <c r="C44" s="60"/>
      <c r="D44" s="60"/>
      <c r="E44" s="60"/>
      <c r="F44" s="40">
        <f t="shared" ref="F44:AO44" si="13">F$7</f>
        <v>45658</v>
      </c>
      <c r="G44" s="40">
        <f t="shared" si="13"/>
        <v>45689</v>
      </c>
      <c r="H44" s="40">
        <f t="shared" si="13"/>
        <v>45717</v>
      </c>
      <c r="I44" s="40">
        <f t="shared" si="13"/>
        <v>45748</v>
      </c>
      <c r="J44" s="40">
        <f t="shared" si="13"/>
        <v>45778</v>
      </c>
      <c r="K44" s="40">
        <f t="shared" si="13"/>
        <v>45809</v>
      </c>
      <c r="L44" s="40">
        <f t="shared" si="13"/>
        <v>45839</v>
      </c>
      <c r="M44" s="40">
        <f t="shared" si="13"/>
        <v>45870</v>
      </c>
      <c r="N44" s="40">
        <f t="shared" si="13"/>
        <v>45901</v>
      </c>
      <c r="O44" s="40">
        <f t="shared" si="13"/>
        <v>45931</v>
      </c>
      <c r="P44" s="40">
        <f t="shared" si="13"/>
        <v>45962</v>
      </c>
      <c r="Q44" s="40">
        <f t="shared" si="13"/>
        <v>45992</v>
      </c>
      <c r="R44" s="40">
        <f t="shared" si="13"/>
        <v>46023</v>
      </c>
      <c r="S44" s="40">
        <f t="shared" si="13"/>
        <v>46054</v>
      </c>
      <c r="T44" s="40">
        <f t="shared" si="13"/>
        <v>46082</v>
      </c>
      <c r="U44" s="40">
        <f t="shared" si="13"/>
        <v>46113</v>
      </c>
      <c r="V44" s="40">
        <f t="shared" si="13"/>
        <v>46143</v>
      </c>
      <c r="W44" s="40">
        <f t="shared" si="13"/>
        <v>46174</v>
      </c>
      <c r="X44" s="40">
        <f t="shared" si="13"/>
        <v>46204</v>
      </c>
      <c r="Y44" s="40">
        <f t="shared" si="13"/>
        <v>46235</v>
      </c>
      <c r="Z44" s="40">
        <f t="shared" si="13"/>
        <v>46266</v>
      </c>
      <c r="AA44" s="40">
        <f t="shared" si="13"/>
        <v>46296</v>
      </c>
      <c r="AB44" s="40">
        <f t="shared" si="13"/>
        <v>46327</v>
      </c>
      <c r="AC44" s="40">
        <f t="shared" si="13"/>
        <v>46357</v>
      </c>
      <c r="AD44" s="40">
        <f t="shared" si="13"/>
        <v>46388</v>
      </c>
      <c r="AE44" s="40">
        <f t="shared" si="13"/>
        <v>46419</v>
      </c>
      <c r="AF44" s="40">
        <f t="shared" si="13"/>
        <v>46447</v>
      </c>
      <c r="AG44" s="40">
        <f t="shared" si="13"/>
        <v>46478</v>
      </c>
      <c r="AH44" s="40">
        <f t="shared" si="13"/>
        <v>46508</v>
      </c>
      <c r="AI44" s="40">
        <f t="shared" si="13"/>
        <v>46539</v>
      </c>
      <c r="AJ44" s="40">
        <f t="shared" si="13"/>
        <v>46569</v>
      </c>
      <c r="AK44" s="40">
        <f t="shared" si="13"/>
        <v>46600</v>
      </c>
      <c r="AL44" s="40">
        <f t="shared" si="13"/>
        <v>46631</v>
      </c>
      <c r="AM44" s="40">
        <f t="shared" si="13"/>
        <v>46661</v>
      </c>
      <c r="AN44" s="40">
        <f t="shared" si="13"/>
        <v>46692</v>
      </c>
      <c r="AO44" s="40">
        <f t="shared" si="13"/>
        <v>46722</v>
      </c>
    </row>
    <row r="45" spans="1:41" ht="15.75" customHeight="1" outlineLevel="1">
      <c r="A45" s="82" t="s">
        <v>79</v>
      </c>
      <c r="B45" s="14" t="s">
        <v>49</v>
      </c>
      <c r="C45" s="14" t="s">
        <v>49</v>
      </c>
      <c r="D45" s="14" t="s">
        <v>49</v>
      </c>
      <c r="E45" s="14" t="s">
        <v>49</v>
      </c>
      <c r="F45" s="12">
        <v>200</v>
      </c>
      <c r="G45" s="12">
        <v>200</v>
      </c>
      <c r="H45" s="12">
        <v>200</v>
      </c>
      <c r="I45" s="12">
        <v>200</v>
      </c>
      <c r="J45" s="12">
        <v>200</v>
      </c>
      <c r="K45" s="12">
        <v>200</v>
      </c>
      <c r="L45" s="12">
        <v>200</v>
      </c>
      <c r="M45" s="12">
        <v>200</v>
      </c>
      <c r="N45" s="12">
        <v>200</v>
      </c>
      <c r="O45" s="12">
        <v>200</v>
      </c>
      <c r="P45" s="12">
        <v>200</v>
      </c>
      <c r="Q45" s="12">
        <v>200</v>
      </c>
      <c r="R45" s="12">
        <v>500</v>
      </c>
      <c r="S45" s="12">
        <v>500</v>
      </c>
      <c r="T45" s="12">
        <v>500</v>
      </c>
      <c r="U45" s="12">
        <v>500</v>
      </c>
      <c r="V45" s="12">
        <v>500</v>
      </c>
      <c r="W45" s="12">
        <v>500</v>
      </c>
      <c r="X45" s="12">
        <v>500</v>
      </c>
      <c r="Y45" s="12">
        <v>500</v>
      </c>
      <c r="Z45" s="12">
        <v>500</v>
      </c>
      <c r="AA45" s="12">
        <v>500</v>
      </c>
      <c r="AB45" s="12">
        <v>500</v>
      </c>
      <c r="AC45" s="12">
        <v>500</v>
      </c>
      <c r="AD45" s="12">
        <v>1000</v>
      </c>
      <c r="AE45" s="12">
        <v>1000</v>
      </c>
      <c r="AF45" s="12">
        <v>1000</v>
      </c>
      <c r="AG45" s="12">
        <v>1000</v>
      </c>
      <c r="AH45" s="12">
        <v>1000</v>
      </c>
      <c r="AI45" s="12">
        <v>1000</v>
      </c>
      <c r="AJ45" s="12">
        <v>1000</v>
      </c>
      <c r="AK45" s="12">
        <v>1000</v>
      </c>
      <c r="AL45" s="12">
        <v>1000</v>
      </c>
      <c r="AM45" s="12">
        <v>1000</v>
      </c>
      <c r="AN45" s="12">
        <v>1000</v>
      </c>
      <c r="AO45" s="12">
        <v>1000</v>
      </c>
    </row>
    <row r="46" spans="1:41" ht="15.75" customHeight="1" outlineLevel="1">
      <c r="A46" s="82" t="s">
        <v>80</v>
      </c>
      <c r="B46" s="14" t="s">
        <v>49</v>
      </c>
      <c r="C46" s="14" t="s">
        <v>49</v>
      </c>
      <c r="D46" s="14" t="s">
        <v>49</v>
      </c>
      <c r="E46" s="14" t="s">
        <v>49</v>
      </c>
      <c r="F46" s="13">
        <v>100</v>
      </c>
      <c r="G46" s="13">
        <v>100</v>
      </c>
      <c r="H46" s="13">
        <v>100</v>
      </c>
      <c r="I46" s="13">
        <v>100</v>
      </c>
      <c r="J46" s="13">
        <v>100</v>
      </c>
      <c r="K46" s="13">
        <v>100</v>
      </c>
      <c r="L46" s="13">
        <v>100</v>
      </c>
      <c r="M46" s="13">
        <v>100</v>
      </c>
      <c r="N46" s="13">
        <v>100</v>
      </c>
      <c r="O46" s="13">
        <v>100</v>
      </c>
      <c r="P46" s="13">
        <v>100</v>
      </c>
      <c r="Q46" s="13">
        <v>100</v>
      </c>
      <c r="R46" s="13">
        <v>200</v>
      </c>
      <c r="S46" s="13">
        <v>200</v>
      </c>
      <c r="T46" s="13">
        <v>200</v>
      </c>
      <c r="U46" s="13">
        <v>200</v>
      </c>
      <c r="V46" s="13">
        <v>200</v>
      </c>
      <c r="W46" s="13">
        <v>200</v>
      </c>
      <c r="X46" s="13">
        <v>200</v>
      </c>
      <c r="Y46" s="13">
        <v>200</v>
      </c>
      <c r="Z46" s="13">
        <v>200</v>
      </c>
      <c r="AA46" s="13">
        <v>200</v>
      </c>
      <c r="AB46" s="13">
        <v>200</v>
      </c>
      <c r="AC46" s="13">
        <v>200</v>
      </c>
      <c r="AD46" s="13">
        <v>300</v>
      </c>
      <c r="AE46" s="13">
        <v>300</v>
      </c>
      <c r="AF46" s="13">
        <v>300</v>
      </c>
      <c r="AG46" s="13">
        <v>300</v>
      </c>
      <c r="AH46" s="13">
        <v>300</v>
      </c>
      <c r="AI46" s="13">
        <v>300</v>
      </c>
      <c r="AJ46" s="13">
        <v>300</v>
      </c>
      <c r="AK46" s="13">
        <v>300</v>
      </c>
      <c r="AL46" s="13">
        <v>300</v>
      </c>
      <c r="AM46" s="13">
        <v>300</v>
      </c>
      <c r="AN46" s="13">
        <v>300</v>
      </c>
      <c r="AO46" s="13">
        <v>300</v>
      </c>
    </row>
    <row r="47" spans="1:41" ht="15.75" customHeight="1" outlineLevel="1">
      <c r="A47" s="83" t="s">
        <v>81</v>
      </c>
      <c r="B47" s="14" t="s">
        <v>49</v>
      </c>
      <c r="C47" s="14" t="s">
        <v>49</v>
      </c>
      <c r="D47" s="14" t="s">
        <v>49</v>
      </c>
      <c r="E47" s="14" t="s">
        <v>49</v>
      </c>
      <c r="F47" s="12">
        <v>500</v>
      </c>
      <c r="G47" s="12">
        <v>500</v>
      </c>
      <c r="H47" s="12">
        <v>500</v>
      </c>
      <c r="I47" s="12">
        <v>500</v>
      </c>
      <c r="J47" s="12">
        <v>500</v>
      </c>
      <c r="K47" s="12">
        <v>500</v>
      </c>
      <c r="L47" s="12">
        <v>500</v>
      </c>
      <c r="M47" s="12">
        <v>500</v>
      </c>
      <c r="N47" s="12">
        <v>500</v>
      </c>
      <c r="O47" s="12">
        <v>500</v>
      </c>
      <c r="P47" s="12">
        <v>500</v>
      </c>
      <c r="Q47" s="12">
        <v>500</v>
      </c>
      <c r="R47" s="12">
        <v>1000</v>
      </c>
      <c r="S47" s="12">
        <v>1000</v>
      </c>
      <c r="T47" s="12">
        <v>1000</v>
      </c>
      <c r="U47" s="12">
        <v>1000</v>
      </c>
      <c r="V47" s="12">
        <v>1000</v>
      </c>
      <c r="W47" s="12">
        <v>1000</v>
      </c>
      <c r="X47" s="12">
        <v>1000</v>
      </c>
      <c r="Y47" s="12">
        <v>1000</v>
      </c>
      <c r="Z47" s="12">
        <v>1000</v>
      </c>
      <c r="AA47" s="12">
        <v>1000</v>
      </c>
      <c r="AB47" s="12">
        <v>1000</v>
      </c>
      <c r="AC47" s="12">
        <v>1000</v>
      </c>
      <c r="AD47" s="12">
        <v>2000</v>
      </c>
      <c r="AE47" s="12">
        <v>2000</v>
      </c>
      <c r="AF47" s="12">
        <v>2000</v>
      </c>
      <c r="AG47" s="12">
        <v>2000</v>
      </c>
      <c r="AH47" s="12">
        <v>2000</v>
      </c>
      <c r="AI47" s="12">
        <v>2000</v>
      </c>
      <c r="AJ47" s="12">
        <v>2000</v>
      </c>
      <c r="AK47" s="12">
        <v>2000</v>
      </c>
      <c r="AL47" s="12">
        <v>2000</v>
      </c>
      <c r="AM47" s="12">
        <v>2000</v>
      </c>
      <c r="AN47" s="12">
        <v>2000</v>
      </c>
      <c r="AO47" s="12">
        <v>2000</v>
      </c>
    </row>
    <row r="48" spans="1:41" ht="15.75" customHeight="1" outlineLevel="1">
      <c r="A48" s="64" t="s">
        <v>82</v>
      </c>
      <c r="B48" s="14" t="s">
        <v>49</v>
      </c>
      <c r="C48" s="14" t="s">
        <v>49</v>
      </c>
      <c r="D48" s="14" t="s">
        <v>49</v>
      </c>
      <c r="E48" s="14" t="s">
        <v>49</v>
      </c>
      <c r="F48" s="13">
        <v>200</v>
      </c>
      <c r="G48" s="13">
        <v>200</v>
      </c>
      <c r="H48" s="13">
        <v>200</v>
      </c>
      <c r="I48" s="13">
        <v>200</v>
      </c>
      <c r="J48" s="13">
        <v>200</v>
      </c>
      <c r="K48" s="13">
        <v>200</v>
      </c>
      <c r="L48" s="13">
        <v>200</v>
      </c>
      <c r="M48" s="13">
        <v>200</v>
      </c>
      <c r="N48" s="13">
        <v>200</v>
      </c>
      <c r="O48" s="13">
        <v>200</v>
      </c>
      <c r="P48" s="13">
        <v>200</v>
      </c>
      <c r="Q48" s="13">
        <v>200</v>
      </c>
      <c r="R48" s="13">
        <v>500</v>
      </c>
      <c r="S48" s="13">
        <v>500</v>
      </c>
      <c r="T48" s="13">
        <v>500</v>
      </c>
      <c r="U48" s="13">
        <v>500</v>
      </c>
      <c r="V48" s="13">
        <v>500</v>
      </c>
      <c r="W48" s="13">
        <v>500</v>
      </c>
      <c r="X48" s="13">
        <v>500</v>
      </c>
      <c r="Y48" s="13">
        <v>500</v>
      </c>
      <c r="Z48" s="13">
        <v>500</v>
      </c>
      <c r="AA48" s="13">
        <v>500</v>
      </c>
      <c r="AB48" s="13">
        <v>500</v>
      </c>
      <c r="AC48" s="13">
        <v>500</v>
      </c>
      <c r="AD48" s="13">
        <v>1000</v>
      </c>
      <c r="AE48" s="13">
        <v>1000</v>
      </c>
      <c r="AF48" s="13">
        <v>1000</v>
      </c>
      <c r="AG48" s="13">
        <v>1000</v>
      </c>
      <c r="AH48" s="13">
        <v>1000</v>
      </c>
      <c r="AI48" s="13">
        <v>1000</v>
      </c>
      <c r="AJ48" s="13">
        <v>1000</v>
      </c>
      <c r="AK48" s="13">
        <v>1000</v>
      </c>
      <c r="AL48" s="13">
        <v>1000</v>
      </c>
      <c r="AM48" s="13">
        <v>1000</v>
      </c>
      <c r="AN48" s="13">
        <v>1000</v>
      </c>
      <c r="AO48" s="13">
        <v>1000</v>
      </c>
    </row>
    <row r="49" spans="1:41" ht="15.75" customHeight="1" outlineLevel="1">
      <c r="A49" s="64" t="s">
        <v>83</v>
      </c>
      <c r="B49" s="14" t="s">
        <v>49</v>
      </c>
      <c r="C49" s="14" t="s">
        <v>49</v>
      </c>
      <c r="D49" s="14" t="s">
        <v>49</v>
      </c>
      <c r="E49" s="14" t="s">
        <v>49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500</v>
      </c>
      <c r="AE49" s="13">
        <v>500</v>
      </c>
      <c r="AF49" s="13">
        <v>500</v>
      </c>
      <c r="AG49" s="13">
        <v>500</v>
      </c>
      <c r="AH49" s="13">
        <v>500</v>
      </c>
      <c r="AI49" s="13">
        <v>500</v>
      </c>
      <c r="AJ49" s="13">
        <v>500</v>
      </c>
      <c r="AK49" s="13">
        <v>500</v>
      </c>
      <c r="AL49" s="13">
        <v>500</v>
      </c>
      <c r="AM49" s="13">
        <v>500</v>
      </c>
      <c r="AN49" s="13">
        <v>500</v>
      </c>
      <c r="AO49" s="13">
        <v>500</v>
      </c>
    </row>
    <row r="50" spans="1:41" ht="15.75" customHeight="1" outlineLevel="1">
      <c r="A50" s="64" t="s">
        <v>84</v>
      </c>
      <c r="B50" s="14" t="s">
        <v>49</v>
      </c>
      <c r="C50" s="14" t="s">
        <v>49</v>
      </c>
      <c r="D50" s="14" t="s">
        <v>49</v>
      </c>
      <c r="E50" s="14" t="s">
        <v>49</v>
      </c>
      <c r="F50" s="13">
        <v>50</v>
      </c>
      <c r="G50" s="13">
        <v>50</v>
      </c>
      <c r="H50" s="13">
        <v>50</v>
      </c>
      <c r="I50" s="13">
        <v>50</v>
      </c>
      <c r="J50" s="13">
        <v>50</v>
      </c>
      <c r="K50" s="13">
        <v>50</v>
      </c>
      <c r="L50" s="13">
        <v>50</v>
      </c>
      <c r="M50" s="13">
        <v>50</v>
      </c>
      <c r="N50" s="13">
        <v>50</v>
      </c>
      <c r="O50" s="13">
        <v>50</v>
      </c>
      <c r="P50" s="13">
        <v>50</v>
      </c>
      <c r="Q50" s="13">
        <v>50</v>
      </c>
      <c r="R50" s="13">
        <v>100</v>
      </c>
      <c r="S50" s="13">
        <v>100</v>
      </c>
      <c r="T50" s="13">
        <v>100</v>
      </c>
      <c r="U50" s="13">
        <v>100</v>
      </c>
      <c r="V50" s="13">
        <v>100</v>
      </c>
      <c r="W50" s="13">
        <v>100</v>
      </c>
      <c r="X50" s="13">
        <v>100</v>
      </c>
      <c r="Y50" s="13">
        <v>100</v>
      </c>
      <c r="Z50" s="13">
        <v>100</v>
      </c>
      <c r="AA50" s="13">
        <v>100</v>
      </c>
      <c r="AB50" s="13">
        <v>100</v>
      </c>
      <c r="AC50" s="13">
        <v>100</v>
      </c>
      <c r="AD50" s="13">
        <v>200</v>
      </c>
      <c r="AE50" s="13">
        <v>200</v>
      </c>
      <c r="AF50" s="13">
        <v>200</v>
      </c>
      <c r="AG50" s="13">
        <v>200</v>
      </c>
      <c r="AH50" s="13">
        <v>200</v>
      </c>
      <c r="AI50" s="13">
        <v>200</v>
      </c>
      <c r="AJ50" s="13">
        <v>200</v>
      </c>
      <c r="AK50" s="13">
        <v>200</v>
      </c>
      <c r="AL50" s="13">
        <v>200</v>
      </c>
      <c r="AM50" s="13">
        <v>200</v>
      </c>
      <c r="AN50" s="13">
        <v>200</v>
      </c>
      <c r="AO50" s="13">
        <v>200</v>
      </c>
    </row>
    <row r="51" spans="1:41" ht="15.75" customHeight="1" outlineLevel="1">
      <c r="A51" s="84" t="s">
        <v>85</v>
      </c>
      <c r="B51" s="14" t="s">
        <v>49</v>
      </c>
      <c r="C51" s="14" t="s">
        <v>49</v>
      </c>
      <c r="D51" s="14" t="s">
        <v>49</v>
      </c>
      <c r="E51" s="14" t="s">
        <v>49</v>
      </c>
      <c r="F51" s="12">
        <v>100</v>
      </c>
      <c r="G51" s="12">
        <v>100</v>
      </c>
      <c r="H51" s="12">
        <v>100</v>
      </c>
      <c r="I51" s="12">
        <v>100</v>
      </c>
      <c r="J51" s="12">
        <v>100</v>
      </c>
      <c r="K51" s="12">
        <v>100</v>
      </c>
      <c r="L51" s="12">
        <v>100</v>
      </c>
      <c r="M51" s="12">
        <v>100</v>
      </c>
      <c r="N51" s="12">
        <v>100</v>
      </c>
      <c r="O51" s="12">
        <v>100</v>
      </c>
      <c r="P51" s="12">
        <v>100</v>
      </c>
      <c r="Q51" s="12">
        <v>100</v>
      </c>
      <c r="R51" s="12">
        <v>200</v>
      </c>
      <c r="S51" s="12">
        <v>200</v>
      </c>
      <c r="T51" s="12">
        <v>200</v>
      </c>
      <c r="U51" s="12">
        <v>200</v>
      </c>
      <c r="V51" s="12">
        <v>200</v>
      </c>
      <c r="W51" s="12">
        <v>200</v>
      </c>
      <c r="X51" s="12">
        <v>200</v>
      </c>
      <c r="Y51" s="12">
        <v>200</v>
      </c>
      <c r="Z51" s="12">
        <v>200</v>
      </c>
      <c r="AA51" s="12">
        <v>200</v>
      </c>
      <c r="AB51" s="12">
        <v>200</v>
      </c>
      <c r="AC51" s="12">
        <v>200</v>
      </c>
      <c r="AD51" s="12">
        <v>300</v>
      </c>
      <c r="AE51" s="12">
        <v>300</v>
      </c>
      <c r="AF51" s="12">
        <v>300</v>
      </c>
      <c r="AG51" s="12">
        <v>300</v>
      </c>
      <c r="AH51" s="12">
        <v>300</v>
      </c>
      <c r="AI51" s="12">
        <v>300</v>
      </c>
      <c r="AJ51" s="12">
        <v>300</v>
      </c>
      <c r="AK51" s="12">
        <v>300</v>
      </c>
      <c r="AL51" s="12">
        <v>300</v>
      </c>
      <c r="AM51" s="12">
        <v>300</v>
      </c>
      <c r="AN51" s="12">
        <v>300</v>
      </c>
      <c r="AO51" s="12">
        <v>300</v>
      </c>
    </row>
    <row r="52" spans="1:41" ht="15.75" customHeight="1" outlineLevel="1">
      <c r="A52" s="64" t="s">
        <v>86</v>
      </c>
      <c r="B52" s="14" t="s">
        <v>49</v>
      </c>
      <c r="C52" s="14" t="s">
        <v>49</v>
      </c>
      <c r="D52" s="14" t="s">
        <v>49</v>
      </c>
      <c r="E52" s="14" t="s">
        <v>49</v>
      </c>
      <c r="F52" s="13">
        <v>300</v>
      </c>
      <c r="G52" s="13">
        <v>300</v>
      </c>
      <c r="H52" s="13">
        <v>300</v>
      </c>
      <c r="I52" s="13">
        <v>300</v>
      </c>
      <c r="J52" s="13">
        <v>300</v>
      </c>
      <c r="K52" s="13">
        <v>300</v>
      </c>
      <c r="L52" s="13">
        <v>300</v>
      </c>
      <c r="M52" s="13">
        <v>300</v>
      </c>
      <c r="N52" s="13">
        <v>300</v>
      </c>
      <c r="O52" s="13">
        <v>300</v>
      </c>
      <c r="P52" s="13">
        <v>300</v>
      </c>
      <c r="Q52" s="13">
        <v>300</v>
      </c>
      <c r="R52" s="13">
        <v>600</v>
      </c>
      <c r="S52" s="13">
        <v>600</v>
      </c>
      <c r="T52" s="13">
        <v>600</v>
      </c>
      <c r="U52" s="13">
        <v>600</v>
      </c>
      <c r="V52" s="13">
        <v>600</v>
      </c>
      <c r="W52" s="13">
        <v>600</v>
      </c>
      <c r="X52" s="13">
        <v>600</v>
      </c>
      <c r="Y52" s="13">
        <v>600</v>
      </c>
      <c r="Z52" s="13">
        <v>600</v>
      </c>
      <c r="AA52" s="13">
        <v>600</v>
      </c>
      <c r="AB52" s="13">
        <v>600</v>
      </c>
      <c r="AC52" s="13">
        <v>600</v>
      </c>
      <c r="AD52" s="13">
        <v>1000</v>
      </c>
      <c r="AE52" s="13">
        <v>1000</v>
      </c>
      <c r="AF52" s="13">
        <v>1000</v>
      </c>
      <c r="AG52" s="13">
        <v>1000</v>
      </c>
      <c r="AH52" s="13">
        <v>1000</v>
      </c>
      <c r="AI52" s="13">
        <v>1000</v>
      </c>
      <c r="AJ52" s="13">
        <v>1000</v>
      </c>
      <c r="AK52" s="13">
        <v>1000</v>
      </c>
      <c r="AL52" s="13">
        <v>1000</v>
      </c>
      <c r="AM52" s="13">
        <v>1000</v>
      </c>
      <c r="AN52" s="13">
        <v>1000</v>
      </c>
      <c r="AO52" s="13">
        <v>1000</v>
      </c>
    </row>
    <row r="53" spans="1:41" ht="15.75" customHeight="1" outlineLevel="1">
      <c r="A53" s="64" t="s">
        <v>134</v>
      </c>
      <c r="B53" s="14" t="s">
        <v>49</v>
      </c>
      <c r="C53" s="14" t="s">
        <v>49</v>
      </c>
      <c r="D53" s="14" t="s">
        <v>49</v>
      </c>
      <c r="E53" s="14" t="s">
        <v>49</v>
      </c>
      <c r="F53" s="13">
        <v>500</v>
      </c>
      <c r="G53" s="13">
        <v>500</v>
      </c>
      <c r="H53" s="13">
        <v>500</v>
      </c>
      <c r="I53" s="13">
        <v>500</v>
      </c>
      <c r="J53" s="13">
        <v>500</v>
      </c>
      <c r="K53" s="13">
        <v>500</v>
      </c>
      <c r="L53" s="13">
        <v>500</v>
      </c>
      <c r="M53" s="13">
        <v>500</v>
      </c>
      <c r="N53" s="13">
        <v>500</v>
      </c>
      <c r="O53" s="13">
        <v>500</v>
      </c>
      <c r="P53" s="13">
        <v>500</v>
      </c>
      <c r="Q53" s="13">
        <v>500</v>
      </c>
      <c r="R53" s="13">
        <v>1000</v>
      </c>
      <c r="S53" s="13">
        <v>1000</v>
      </c>
      <c r="T53" s="13">
        <v>1000</v>
      </c>
      <c r="U53" s="13">
        <v>1000</v>
      </c>
      <c r="V53" s="13">
        <v>1000</v>
      </c>
      <c r="W53" s="13">
        <v>1000</v>
      </c>
      <c r="X53" s="13">
        <v>1000</v>
      </c>
      <c r="Y53" s="13">
        <v>1000</v>
      </c>
      <c r="Z53" s="13">
        <v>1000</v>
      </c>
      <c r="AA53" s="13">
        <v>1000</v>
      </c>
      <c r="AB53" s="13">
        <v>1000</v>
      </c>
      <c r="AC53" s="13">
        <v>1000</v>
      </c>
      <c r="AD53" s="13">
        <v>1500</v>
      </c>
      <c r="AE53" s="13">
        <v>1500</v>
      </c>
      <c r="AF53" s="13">
        <v>1500</v>
      </c>
      <c r="AG53" s="13">
        <v>1500</v>
      </c>
      <c r="AH53" s="13">
        <v>1500</v>
      </c>
      <c r="AI53" s="13">
        <v>1500</v>
      </c>
      <c r="AJ53" s="13">
        <v>1500</v>
      </c>
      <c r="AK53" s="13">
        <v>1500</v>
      </c>
      <c r="AL53" s="13">
        <v>1500</v>
      </c>
      <c r="AM53" s="13">
        <v>1500</v>
      </c>
      <c r="AN53" s="13">
        <v>1500</v>
      </c>
      <c r="AO53" s="13">
        <v>1500</v>
      </c>
    </row>
    <row r="54" spans="1:41" ht="15.75" customHeight="1" outlineLevel="1">
      <c r="A54" s="151" t="s">
        <v>135</v>
      </c>
      <c r="B54" s="14"/>
      <c r="C54" s="14"/>
      <c r="D54" s="14"/>
      <c r="E54" s="14"/>
      <c r="F54" s="13">
        <v>100</v>
      </c>
      <c r="G54" s="13">
        <v>100</v>
      </c>
      <c r="H54" s="13">
        <v>100</v>
      </c>
      <c r="I54" s="13">
        <v>100</v>
      </c>
      <c r="J54" s="13">
        <v>100</v>
      </c>
      <c r="K54" s="13">
        <v>100</v>
      </c>
      <c r="L54" s="13">
        <v>100</v>
      </c>
      <c r="M54" s="13">
        <v>100</v>
      </c>
      <c r="N54" s="13">
        <v>100</v>
      </c>
      <c r="O54" s="13">
        <v>100</v>
      </c>
      <c r="P54" s="13">
        <v>100</v>
      </c>
      <c r="Q54" s="13">
        <v>100</v>
      </c>
      <c r="R54" s="13">
        <v>200</v>
      </c>
      <c r="S54" s="13">
        <v>200</v>
      </c>
      <c r="T54" s="13">
        <v>200</v>
      </c>
      <c r="U54" s="13">
        <v>200</v>
      </c>
      <c r="V54" s="13">
        <v>200</v>
      </c>
      <c r="W54" s="13">
        <v>200</v>
      </c>
      <c r="X54" s="13">
        <v>200</v>
      </c>
      <c r="Y54" s="13">
        <v>200</v>
      </c>
      <c r="Z54" s="13">
        <v>200</v>
      </c>
      <c r="AA54" s="13">
        <v>200</v>
      </c>
      <c r="AB54" s="13">
        <v>200</v>
      </c>
      <c r="AC54" s="13">
        <v>200</v>
      </c>
      <c r="AD54" s="13">
        <v>400</v>
      </c>
      <c r="AE54" s="13">
        <v>400</v>
      </c>
      <c r="AF54" s="13">
        <v>400</v>
      </c>
      <c r="AG54" s="13">
        <v>400</v>
      </c>
      <c r="AH54" s="13">
        <v>400</v>
      </c>
      <c r="AI54" s="13">
        <v>400</v>
      </c>
      <c r="AJ54" s="13">
        <v>400</v>
      </c>
      <c r="AK54" s="13">
        <v>400</v>
      </c>
      <c r="AL54" s="13">
        <v>400</v>
      </c>
      <c r="AM54" s="13">
        <v>400</v>
      </c>
      <c r="AN54" s="13">
        <v>400</v>
      </c>
      <c r="AO54" s="13">
        <v>400</v>
      </c>
    </row>
    <row r="55" spans="1:41" ht="15.75" customHeight="1" outlineLevel="1">
      <c r="A55" s="151" t="s">
        <v>136</v>
      </c>
      <c r="B55" s="14" t="s">
        <v>49</v>
      </c>
      <c r="C55" s="14" t="s">
        <v>49</v>
      </c>
      <c r="D55" s="14" t="s">
        <v>49</v>
      </c>
      <c r="E55" s="14" t="s">
        <v>49</v>
      </c>
      <c r="F55" s="13">
        <v>300</v>
      </c>
      <c r="G55" s="13">
        <v>300</v>
      </c>
      <c r="H55" s="13">
        <v>300</v>
      </c>
      <c r="I55" s="13">
        <v>300</v>
      </c>
      <c r="J55" s="13">
        <v>300</v>
      </c>
      <c r="K55" s="13">
        <v>300</v>
      </c>
      <c r="L55" s="13">
        <v>300</v>
      </c>
      <c r="M55" s="13">
        <v>300</v>
      </c>
      <c r="N55" s="13">
        <v>300</v>
      </c>
      <c r="O55" s="13">
        <v>300</v>
      </c>
      <c r="P55" s="13">
        <v>300</v>
      </c>
      <c r="Q55" s="13">
        <v>300</v>
      </c>
      <c r="R55" s="13">
        <v>500</v>
      </c>
      <c r="S55" s="13">
        <v>500</v>
      </c>
      <c r="T55" s="13">
        <v>500</v>
      </c>
      <c r="U55" s="13">
        <v>500</v>
      </c>
      <c r="V55" s="13">
        <v>500</v>
      </c>
      <c r="W55" s="13">
        <v>500</v>
      </c>
      <c r="X55" s="13">
        <v>500</v>
      </c>
      <c r="Y55" s="13">
        <v>500</v>
      </c>
      <c r="Z55" s="13">
        <v>500</v>
      </c>
      <c r="AA55" s="13">
        <v>500</v>
      </c>
      <c r="AB55" s="13">
        <v>500</v>
      </c>
      <c r="AC55" s="13">
        <v>500</v>
      </c>
      <c r="AD55" s="13">
        <v>800</v>
      </c>
      <c r="AE55" s="13">
        <v>800</v>
      </c>
      <c r="AF55" s="13">
        <v>800</v>
      </c>
      <c r="AG55" s="13">
        <v>800</v>
      </c>
      <c r="AH55" s="13">
        <v>800</v>
      </c>
      <c r="AI55" s="13">
        <v>800</v>
      </c>
      <c r="AJ55" s="13">
        <v>800</v>
      </c>
      <c r="AK55" s="13">
        <v>800</v>
      </c>
      <c r="AL55" s="13">
        <v>800</v>
      </c>
      <c r="AM55" s="13">
        <v>800</v>
      </c>
      <c r="AN55" s="13">
        <v>800</v>
      </c>
      <c r="AO55" s="13">
        <v>800</v>
      </c>
    </row>
    <row r="56" spans="1:41" ht="15.75" customHeight="1" outlineLevel="1">
      <c r="A56" s="67" t="s">
        <v>64</v>
      </c>
      <c r="B56" s="14" t="s">
        <v>49</v>
      </c>
      <c r="C56" s="14" t="s">
        <v>49</v>
      </c>
      <c r="D56" s="14" t="s">
        <v>49</v>
      </c>
      <c r="E56" s="14" t="s">
        <v>49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</row>
    <row r="57" spans="1:41" ht="15.75" customHeight="1">
      <c r="A57" s="68" t="s">
        <v>87</v>
      </c>
      <c r="B57" s="69"/>
      <c r="C57" s="69"/>
      <c r="D57" s="69"/>
      <c r="E57" s="69"/>
      <c r="F57" s="70">
        <f t="shared" ref="F57:AO57" si="14">SUM(F45:F56)</f>
        <v>2350</v>
      </c>
      <c r="G57" s="70">
        <f t="shared" si="14"/>
        <v>2350</v>
      </c>
      <c r="H57" s="70">
        <f t="shared" si="14"/>
        <v>2350</v>
      </c>
      <c r="I57" s="70">
        <f t="shared" si="14"/>
        <v>2350</v>
      </c>
      <c r="J57" s="70">
        <f t="shared" si="14"/>
        <v>2350</v>
      </c>
      <c r="K57" s="70">
        <f t="shared" si="14"/>
        <v>2350</v>
      </c>
      <c r="L57" s="70">
        <f t="shared" si="14"/>
        <v>2350</v>
      </c>
      <c r="M57" s="70">
        <f t="shared" si="14"/>
        <v>2350</v>
      </c>
      <c r="N57" s="70">
        <f t="shared" si="14"/>
        <v>2350</v>
      </c>
      <c r="O57" s="70">
        <f t="shared" si="14"/>
        <v>2350</v>
      </c>
      <c r="P57" s="70">
        <f t="shared" si="14"/>
        <v>2350</v>
      </c>
      <c r="Q57" s="70">
        <f t="shared" si="14"/>
        <v>2350</v>
      </c>
      <c r="R57" s="70">
        <f t="shared" si="14"/>
        <v>4800</v>
      </c>
      <c r="S57" s="70">
        <f t="shared" si="14"/>
        <v>4800</v>
      </c>
      <c r="T57" s="70">
        <f t="shared" si="14"/>
        <v>4800</v>
      </c>
      <c r="U57" s="70">
        <f t="shared" si="14"/>
        <v>4800</v>
      </c>
      <c r="V57" s="70">
        <f t="shared" si="14"/>
        <v>4800</v>
      </c>
      <c r="W57" s="70">
        <f t="shared" si="14"/>
        <v>4800</v>
      </c>
      <c r="X57" s="70">
        <f t="shared" si="14"/>
        <v>4800</v>
      </c>
      <c r="Y57" s="70">
        <f t="shared" si="14"/>
        <v>4800</v>
      </c>
      <c r="Z57" s="70">
        <f t="shared" si="14"/>
        <v>4800</v>
      </c>
      <c r="AA57" s="70">
        <f t="shared" si="14"/>
        <v>4800</v>
      </c>
      <c r="AB57" s="70">
        <f t="shared" si="14"/>
        <v>4800</v>
      </c>
      <c r="AC57" s="70">
        <f t="shared" si="14"/>
        <v>4800</v>
      </c>
      <c r="AD57" s="70">
        <f t="shared" si="14"/>
        <v>9000</v>
      </c>
      <c r="AE57" s="70">
        <f t="shared" si="14"/>
        <v>9000</v>
      </c>
      <c r="AF57" s="70">
        <f t="shared" si="14"/>
        <v>9000</v>
      </c>
      <c r="AG57" s="70">
        <f t="shared" si="14"/>
        <v>9000</v>
      </c>
      <c r="AH57" s="70">
        <f t="shared" si="14"/>
        <v>9000</v>
      </c>
      <c r="AI57" s="70">
        <f t="shared" si="14"/>
        <v>9000</v>
      </c>
      <c r="AJ57" s="70">
        <f t="shared" si="14"/>
        <v>9000</v>
      </c>
      <c r="AK57" s="70">
        <f t="shared" si="14"/>
        <v>9000</v>
      </c>
      <c r="AL57" s="70">
        <f t="shared" si="14"/>
        <v>9000</v>
      </c>
      <c r="AM57" s="70">
        <f t="shared" si="14"/>
        <v>9000</v>
      </c>
      <c r="AN57" s="70">
        <f t="shared" si="14"/>
        <v>9000</v>
      </c>
      <c r="AO57" s="70">
        <f t="shared" si="14"/>
        <v>9000</v>
      </c>
    </row>
    <row r="58" spans="1:41" ht="15.75" customHeight="1">
      <c r="A58" s="79"/>
      <c r="B58" s="80"/>
      <c r="C58" s="80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</row>
    <row r="59" spans="1:41" ht="15.75" customHeight="1">
      <c r="A59" s="60" t="s">
        <v>88</v>
      </c>
      <c r="B59" s="60"/>
      <c r="C59" s="60"/>
      <c r="D59" s="60"/>
      <c r="E59" s="60"/>
      <c r="F59" s="40">
        <f t="shared" ref="F59:AO59" si="15">F$7</f>
        <v>45658</v>
      </c>
      <c r="G59" s="40">
        <f t="shared" si="15"/>
        <v>45689</v>
      </c>
      <c r="H59" s="40">
        <f t="shared" si="15"/>
        <v>45717</v>
      </c>
      <c r="I59" s="40">
        <f t="shared" si="15"/>
        <v>45748</v>
      </c>
      <c r="J59" s="40">
        <f t="shared" si="15"/>
        <v>45778</v>
      </c>
      <c r="K59" s="40">
        <f t="shared" si="15"/>
        <v>45809</v>
      </c>
      <c r="L59" s="40">
        <f t="shared" si="15"/>
        <v>45839</v>
      </c>
      <c r="M59" s="40">
        <f t="shared" si="15"/>
        <v>45870</v>
      </c>
      <c r="N59" s="40">
        <f t="shared" si="15"/>
        <v>45901</v>
      </c>
      <c r="O59" s="40">
        <f t="shared" si="15"/>
        <v>45931</v>
      </c>
      <c r="P59" s="40">
        <f t="shared" si="15"/>
        <v>45962</v>
      </c>
      <c r="Q59" s="40">
        <f t="shared" si="15"/>
        <v>45992</v>
      </c>
      <c r="R59" s="40">
        <f t="shared" si="15"/>
        <v>46023</v>
      </c>
      <c r="S59" s="40">
        <f t="shared" si="15"/>
        <v>46054</v>
      </c>
      <c r="T59" s="40">
        <f t="shared" si="15"/>
        <v>46082</v>
      </c>
      <c r="U59" s="40">
        <f t="shared" si="15"/>
        <v>46113</v>
      </c>
      <c r="V59" s="40">
        <f t="shared" si="15"/>
        <v>46143</v>
      </c>
      <c r="W59" s="40">
        <f t="shared" si="15"/>
        <v>46174</v>
      </c>
      <c r="X59" s="40">
        <f t="shared" si="15"/>
        <v>46204</v>
      </c>
      <c r="Y59" s="40">
        <f t="shared" si="15"/>
        <v>46235</v>
      </c>
      <c r="Z59" s="40">
        <f t="shared" si="15"/>
        <v>46266</v>
      </c>
      <c r="AA59" s="40">
        <f t="shared" si="15"/>
        <v>46296</v>
      </c>
      <c r="AB59" s="40">
        <f t="shared" si="15"/>
        <v>46327</v>
      </c>
      <c r="AC59" s="40">
        <f t="shared" si="15"/>
        <v>46357</v>
      </c>
      <c r="AD59" s="40">
        <f t="shared" si="15"/>
        <v>46388</v>
      </c>
      <c r="AE59" s="40">
        <f t="shared" si="15"/>
        <v>46419</v>
      </c>
      <c r="AF59" s="40">
        <f t="shared" si="15"/>
        <v>46447</v>
      </c>
      <c r="AG59" s="40">
        <f t="shared" si="15"/>
        <v>46478</v>
      </c>
      <c r="AH59" s="40">
        <f t="shared" si="15"/>
        <v>46508</v>
      </c>
      <c r="AI59" s="40">
        <f t="shared" si="15"/>
        <v>46539</v>
      </c>
      <c r="AJ59" s="40">
        <f t="shared" si="15"/>
        <v>46569</v>
      </c>
      <c r="AK59" s="40">
        <f t="shared" si="15"/>
        <v>46600</v>
      </c>
      <c r="AL59" s="40">
        <f t="shared" si="15"/>
        <v>46631</v>
      </c>
      <c r="AM59" s="40">
        <f t="shared" si="15"/>
        <v>46661</v>
      </c>
      <c r="AN59" s="40">
        <f t="shared" si="15"/>
        <v>46692</v>
      </c>
      <c r="AO59" s="40">
        <f t="shared" si="15"/>
        <v>46722</v>
      </c>
    </row>
    <row r="60" spans="1:41" ht="15.75" customHeight="1" outlineLevel="1">
      <c r="A60" s="67" t="s">
        <v>89</v>
      </c>
      <c r="B60" s="14"/>
      <c r="C60" s="14"/>
      <c r="D60" s="14" t="s">
        <v>49</v>
      </c>
      <c r="E60" s="14" t="s">
        <v>49</v>
      </c>
      <c r="F60" s="13">
        <v>3000</v>
      </c>
      <c r="G60" s="13">
        <v>3000</v>
      </c>
      <c r="H60" s="13">
        <v>3000</v>
      </c>
      <c r="I60" s="13">
        <v>3000</v>
      </c>
      <c r="J60" s="13">
        <v>3000</v>
      </c>
      <c r="K60" s="13">
        <v>3000</v>
      </c>
      <c r="L60" s="13">
        <v>3000</v>
      </c>
      <c r="M60" s="13">
        <v>3000</v>
      </c>
      <c r="N60" s="13">
        <v>3000</v>
      </c>
      <c r="O60" s="13">
        <v>3000</v>
      </c>
      <c r="P60" s="13">
        <v>3000</v>
      </c>
      <c r="Q60" s="13">
        <v>3000</v>
      </c>
      <c r="R60" s="13">
        <v>1500</v>
      </c>
      <c r="S60" s="13">
        <v>1500</v>
      </c>
      <c r="T60" s="13">
        <v>1500</v>
      </c>
      <c r="U60" s="13">
        <v>1500</v>
      </c>
      <c r="V60" s="13">
        <v>1500</v>
      </c>
      <c r="W60" s="13">
        <v>1500</v>
      </c>
      <c r="X60" s="13">
        <v>1500</v>
      </c>
      <c r="Y60" s="13">
        <v>1500</v>
      </c>
      <c r="Z60" s="13">
        <v>1500</v>
      </c>
      <c r="AA60" s="13">
        <v>1500</v>
      </c>
      <c r="AB60" s="13">
        <v>1500</v>
      </c>
      <c r="AC60" s="13">
        <v>1500</v>
      </c>
      <c r="AD60" s="13">
        <v>2000</v>
      </c>
      <c r="AE60" s="13">
        <v>2000</v>
      </c>
      <c r="AF60" s="13">
        <v>2000</v>
      </c>
      <c r="AG60" s="13">
        <v>2000</v>
      </c>
      <c r="AH60" s="13">
        <v>2000</v>
      </c>
      <c r="AI60" s="13">
        <v>2000</v>
      </c>
      <c r="AJ60" s="13">
        <v>2000</v>
      </c>
      <c r="AK60" s="13">
        <v>2000</v>
      </c>
      <c r="AL60" s="13">
        <v>2000</v>
      </c>
      <c r="AM60" s="13">
        <v>2000</v>
      </c>
      <c r="AN60" s="13">
        <v>2000</v>
      </c>
      <c r="AO60" s="13">
        <v>2000</v>
      </c>
    </row>
    <row r="61" spans="1:41" ht="15.75" customHeight="1" outlineLevel="1">
      <c r="A61" s="67" t="s">
        <v>90</v>
      </c>
      <c r="B61" s="14"/>
      <c r="C61" s="14"/>
      <c r="D61" s="14" t="s">
        <v>49</v>
      </c>
      <c r="E61" s="14" t="s">
        <v>49</v>
      </c>
      <c r="F61" s="13">
        <v>500</v>
      </c>
      <c r="G61" s="13">
        <v>500</v>
      </c>
      <c r="H61" s="13">
        <v>500</v>
      </c>
      <c r="I61" s="13">
        <v>500</v>
      </c>
      <c r="J61" s="13">
        <v>500</v>
      </c>
      <c r="K61" s="13">
        <v>500</v>
      </c>
      <c r="L61" s="13">
        <v>500</v>
      </c>
      <c r="M61" s="13">
        <v>500</v>
      </c>
      <c r="N61" s="13">
        <v>500</v>
      </c>
      <c r="O61" s="13">
        <v>500</v>
      </c>
      <c r="P61" s="13">
        <v>500</v>
      </c>
      <c r="Q61" s="13">
        <v>500</v>
      </c>
      <c r="R61" s="13">
        <v>800</v>
      </c>
      <c r="S61" s="13">
        <v>800</v>
      </c>
      <c r="T61" s="13">
        <v>800</v>
      </c>
      <c r="U61" s="13">
        <v>800</v>
      </c>
      <c r="V61" s="13">
        <v>800</v>
      </c>
      <c r="W61" s="13">
        <v>800</v>
      </c>
      <c r="X61" s="13">
        <v>800</v>
      </c>
      <c r="Y61" s="13">
        <v>800</v>
      </c>
      <c r="Z61" s="13">
        <v>800</v>
      </c>
      <c r="AA61" s="13">
        <v>800</v>
      </c>
      <c r="AB61" s="13">
        <v>800</v>
      </c>
      <c r="AC61" s="13">
        <v>800</v>
      </c>
      <c r="AD61" s="13">
        <v>1000</v>
      </c>
      <c r="AE61" s="13">
        <v>1000</v>
      </c>
      <c r="AF61" s="13">
        <v>1000</v>
      </c>
      <c r="AG61" s="13">
        <v>1000</v>
      </c>
      <c r="AH61" s="13">
        <v>1000</v>
      </c>
      <c r="AI61" s="13">
        <v>1000</v>
      </c>
      <c r="AJ61" s="13">
        <v>1000</v>
      </c>
      <c r="AK61" s="13">
        <v>1000</v>
      </c>
      <c r="AL61" s="13">
        <v>1000</v>
      </c>
      <c r="AM61" s="13">
        <v>1000</v>
      </c>
      <c r="AN61" s="13">
        <v>1000</v>
      </c>
      <c r="AO61" s="13">
        <v>1000</v>
      </c>
    </row>
    <row r="62" spans="1:41" ht="15.75" customHeight="1" outlineLevel="1">
      <c r="A62" s="67" t="s">
        <v>91</v>
      </c>
      <c r="B62" s="14"/>
      <c r="C62" s="14"/>
      <c r="D62" s="14" t="s">
        <v>49</v>
      </c>
      <c r="E62" s="14" t="s">
        <v>49</v>
      </c>
      <c r="F62" s="12">
        <v>200</v>
      </c>
      <c r="G62" s="12">
        <v>200</v>
      </c>
      <c r="H62" s="12">
        <v>200</v>
      </c>
      <c r="I62" s="12">
        <v>200</v>
      </c>
      <c r="J62" s="12">
        <v>200</v>
      </c>
      <c r="K62" s="12">
        <v>200</v>
      </c>
      <c r="L62" s="12">
        <v>200</v>
      </c>
      <c r="M62" s="12">
        <v>200</v>
      </c>
      <c r="N62" s="12">
        <v>200</v>
      </c>
      <c r="O62" s="12">
        <v>200</v>
      </c>
      <c r="P62" s="12">
        <v>200</v>
      </c>
      <c r="Q62" s="12">
        <v>200</v>
      </c>
      <c r="R62" s="12">
        <v>500</v>
      </c>
      <c r="S62" s="12">
        <v>500</v>
      </c>
      <c r="T62" s="12">
        <v>500</v>
      </c>
      <c r="U62" s="12">
        <v>500</v>
      </c>
      <c r="V62" s="12">
        <v>500</v>
      </c>
      <c r="W62" s="12">
        <v>500</v>
      </c>
      <c r="X62" s="12">
        <v>500</v>
      </c>
      <c r="Y62" s="12">
        <v>500</v>
      </c>
      <c r="Z62" s="12">
        <v>500</v>
      </c>
      <c r="AA62" s="12">
        <v>500</v>
      </c>
      <c r="AB62" s="12">
        <v>500</v>
      </c>
      <c r="AC62" s="12">
        <v>500</v>
      </c>
      <c r="AD62" s="12">
        <v>800</v>
      </c>
      <c r="AE62" s="12">
        <v>800</v>
      </c>
      <c r="AF62" s="12">
        <v>800</v>
      </c>
      <c r="AG62" s="12">
        <v>800</v>
      </c>
      <c r="AH62" s="12">
        <v>800</v>
      </c>
      <c r="AI62" s="12">
        <v>800</v>
      </c>
      <c r="AJ62" s="12">
        <v>800</v>
      </c>
      <c r="AK62" s="12">
        <v>800</v>
      </c>
      <c r="AL62" s="12">
        <v>800</v>
      </c>
      <c r="AM62" s="12">
        <v>800</v>
      </c>
      <c r="AN62" s="12">
        <v>800</v>
      </c>
      <c r="AO62" s="12">
        <v>800</v>
      </c>
    </row>
    <row r="63" spans="1:41" ht="15" customHeight="1">
      <c r="A63" s="152"/>
    </row>
    <row r="64" spans="1:41" ht="15.75" customHeight="1" outlineLevel="1">
      <c r="A64" s="152" t="s">
        <v>137</v>
      </c>
      <c r="B64" s="14"/>
      <c r="C64" s="14"/>
      <c r="D64" s="14" t="s">
        <v>49</v>
      </c>
      <c r="E64" s="14" t="s">
        <v>49</v>
      </c>
      <c r="F64" s="13">
        <v>1000</v>
      </c>
      <c r="G64" s="13">
        <v>1000</v>
      </c>
      <c r="H64" s="13">
        <v>1000</v>
      </c>
      <c r="I64" s="13">
        <v>1000</v>
      </c>
      <c r="J64" s="13">
        <v>1000</v>
      </c>
      <c r="K64" s="13">
        <v>1000</v>
      </c>
      <c r="L64" s="13">
        <v>1000</v>
      </c>
      <c r="M64" s="13">
        <v>1000</v>
      </c>
      <c r="N64" s="13">
        <v>1000</v>
      </c>
      <c r="O64" s="13">
        <v>1000</v>
      </c>
      <c r="P64" s="13">
        <v>1000</v>
      </c>
      <c r="Q64" s="13">
        <v>1000</v>
      </c>
      <c r="R64" s="13">
        <v>1500</v>
      </c>
      <c r="S64" s="13">
        <v>1500</v>
      </c>
      <c r="T64" s="13">
        <v>1500</v>
      </c>
      <c r="U64" s="13">
        <v>1500</v>
      </c>
      <c r="V64" s="13">
        <v>1500</v>
      </c>
      <c r="W64" s="13">
        <v>1500</v>
      </c>
      <c r="X64" s="13">
        <v>1500</v>
      </c>
      <c r="Y64" s="13">
        <v>1500</v>
      </c>
      <c r="Z64" s="13">
        <v>1500</v>
      </c>
      <c r="AA64" s="13">
        <v>1500</v>
      </c>
      <c r="AB64" s="13">
        <v>1500</v>
      </c>
      <c r="AC64" s="13">
        <v>1500</v>
      </c>
      <c r="AD64" s="13">
        <v>2000</v>
      </c>
      <c r="AE64" s="13">
        <v>2000</v>
      </c>
      <c r="AF64" s="13">
        <v>2000</v>
      </c>
      <c r="AG64" s="13">
        <v>2000</v>
      </c>
      <c r="AH64" s="13">
        <v>2000</v>
      </c>
      <c r="AI64" s="13">
        <v>2000</v>
      </c>
      <c r="AJ64" s="13">
        <v>2000</v>
      </c>
      <c r="AK64" s="13">
        <v>2000</v>
      </c>
      <c r="AL64" s="13">
        <v>2000</v>
      </c>
      <c r="AM64" s="13">
        <v>2000</v>
      </c>
      <c r="AN64" s="13">
        <v>2000</v>
      </c>
      <c r="AO64" s="13">
        <v>2000</v>
      </c>
    </row>
    <row r="65" spans="1:41" ht="15.75" customHeight="1" outlineLevel="1">
      <c r="A65" s="152" t="s">
        <v>138</v>
      </c>
      <c r="B65" s="14"/>
      <c r="C65" s="14"/>
      <c r="D65" s="14" t="s">
        <v>49</v>
      </c>
      <c r="E65" s="14" t="s">
        <v>49</v>
      </c>
      <c r="F65" s="13">
        <v>400</v>
      </c>
      <c r="G65" s="13">
        <v>400</v>
      </c>
      <c r="H65" s="13">
        <v>400</v>
      </c>
      <c r="I65" s="13">
        <v>400</v>
      </c>
      <c r="J65" s="13">
        <v>400</v>
      </c>
      <c r="K65" s="13">
        <v>400</v>
      </c>
      <c r="L65" s="13">
        <v>400</v>
      </c>
      <c r="M65" s="13">
        <v>400</v>
      </c>
      <c r="N65" s="13">
        <v>400</v>
      </c>
      <c r="O65" s="13">
        <v>400</v>
      </c>
      <c r="P65" s="13">
        <v>400</v>
      </c>
      <c r="Q65" s="13">
        <v>400</v>
      </c>
      <c r="R65" s="13">
        <v>500</v>
      </c>
      <c r="S65" s="13">
        <v>500</v>
      </c>
      <c r="T65" s="13">
        <v>500</v>
      </c>
      <c r="U65" s="13">
        <v>500</v>
      </c>
      <c r="V65" s="13">
        <v>500</v>
      </c>
      <c r="W65" s="13">
        <v>500</v>
      </c>
      <c r="X65" s="13">
        <v>500</v>
      </c>
      <c r="Y65" s="13">
        <v>500</v>
      </c>
      <c r="Z65" s="13">
        <v>500</v>
      </c>
      <c r="AA65" s="13">
        <v>500</v>
      </c>
      <c r="AB65" s="13">
        <v>500</v>
      </c>
      <c r="AC65" s="13">
        <v>500</v>
      </c>
      <c r="AD65" s="13">
        <v>700</v>
      </c>
      <c r="AE65" s="13">
        <v>700</v>
      </c>
      <c r="AF65" s="13">
        <v>700</v>
      </c>
      <c r="AG65" s="13">
        <v>700</v>
      </c>
      <c r="AH65" s="13">
        <v>700</v>
      </c>
      <c r="AI65" s="13">
        <v>700</v>
      </c>
      <c r="AJ65" s="13">
        <v>700</v>
      </c>
      <c r="AK65" s="13">
        <v>700</v>
      </c>
      <c r="AL65" s="13">
        <v>700</v>
      </c>
      <c r="AM65" s="13">
        <v>700</v>
      </c>
      <c r="AN65" s="13">
        <v>700</v>
      </c>
      <c r="AO65" s="13">
        <v>700</v>
      </c>
    </row>
    <row r="66" spans="1:41" ht="15.75" customHeight="1" thickBot="1">
      <c r="A66" s="68" t="s">
        <v>92</v>
      </c>
      <c r="B66" s="69"/>
      <c r="C66" s="69"/>
      <c r="D66" s="69"/>
      <c r="E66" s="69"/>
      <c r="F66" s="70">
        <f t="shared" ref="F66:AO66" si="16">SUM(F60:F65)</f>
        <v>5100</v>
      </c>
      <c r="G66" s="70">
        <f t="shared" si="16"/>
        <v>5100</v>
      </c>
      <c r="H66" s="70">
        <f t="shared" si="16"/>
        <v>5100</v>
      </c>
      <c r="I66" s="70">
        <f t="shared" si="16"/>
        <v>5100</v>
      </c>
      <c r="J66" s="70">
        <f t="shared" si="16"/>
        <v>5100</v>
      </c>
      <c r="K66" s="70">
        <f t="shared" si="16"/>
        <v>5100</v>
      </c>
      <c r="L66" s="70">
        <f t="shared" si="16"/>
        <v>5100</v>
      </c>
      <c r="M66" s="70">
        <f t="shared" si="16"/>
        <v>5100</v>
      </c>
      <c r="N66" s="70">
        <f t="shared" si="16"/>
        <v>5100</v>
      </c>
      <c r="O66" s="70">
        <f t="shared" si="16"/>
        <v>5100</v>
      </c>
      <c r="P66" s="70">
        <f t="shared" si="16"/>
        <v>5100</v>
      </c>
      <c r="Q66" s="70">
        <f t="shared" si="16"/>
        <v>5100</v>
      </c>
      <c r="R66" s="70">
        <f t="shared" si="16"/>
        <v>4800</v>
      </c>
      <c r="S66" s="70">
        <f t="shared" si="16"/>
        <v>4800</v>
      </c>
      <c r="T66" s="70">
        <f t="shared" si="16"/>
        <v>4800</v>
      </c>
      <c r="U66" s="70">
        <f t="shared" si="16"/>
        <v>4800</v>
      </c>
      <c r="V66" s="70">
        <f t="shared" si="16"/>
        <v>4800</v>
      </c>
      <c r="W66" s="70">
        <f t="shared" si="16"/>
        <v>4800</v>
      </c>
      <c r="X66" s="70">
        <f t="shared" si="16"/>
        <v>4800</v>
      </c>
      <c r="Y66" s="70">
        <f t="shared" si="16"/>
        <v>4800</v>
      </c>
      <c r="Z66" s="70">
        <f t="shared" si="16"/>
        <v>4800</v>
      </c>
      <c r="AA66" s="70">
        <f t="shared" si="16"/>
        <v>4800</v>
      </c>
      <c r="AB66" s="70">
        <f t="shared" si="16"/>
        <v>4800</v>
      </c>
      <c r="AC66" s="70">
        <f t="shared" si="16"/>
        <v>4800</v>
      </c>
      <c r="AD66" s="70">
        <f t="shared" si="16"/>
        <v>6500</v>
      </c>
      <c r="AE66" s="70">
        <f t="shared" si="16"/>
        <v>6500</v>
      </c>
      <c r="AF66" s="70">
        <f t="shared" si="16"/>
        <v>6500</v>
      </c>
      <c r="AG66" s="70">
        <f t="shared" si="16"/>
        <v>6500</v>
      </c>
      <c r="AH66" s="70">
        <f t="shared" si="16"/>
        <v>6500</v>
      </c>
      <c r="AI66" s="70">
        <f t="shared" si="16"/>
        <v>6500</v>
      </c>
      <c r="AJ66" s="70">
        <f t="shared" si="16"/>
        <v>6500</v>
      </c>
      <c r="AK66" s="70">
        <f t="shared" si="16"/>
        <v>6500</v>
      </c>
      <c r="AL66" s="70">
        <f t="shared" si="16"/>
        <v>6500</v>
      </c>
      <c r="AM66" s="70">
        <f t="shared" si="16"/>
        <v>6500</v>
      </c>
      <c r="AN66" s="70">
        <f t="shared" si="16"/>
        <v>6500</v>
      </c>
      <c r="AO66" s="70">
        <f t="shared" si="16"/>
        <v>6500</v>
      </c>
    </row>
    <row r="67" spans="1:41" ht="15.75" customHeight="1"/>
    <row r="68" spans="1:41" ht="15.75" customHeight="1"/>
    <row r="69" spans="1:41" ht="15.75" customHeight="1"/>
    <row r="70" spans="1:41" ht="15.75" customHeight="1"/>
    <row r="71" spans="1:41" ht="15.75" customHeight="1"/>
    <row r="72" spans="1:41" ht="15.75" customHeight="1"/>
    <row r="73" spans="1:41" ht="15.75" customHeight="1"/>
    <row r="74" spans="1:41" ht="15.75" customHeight="1"/>
    <row r="75" spans="1:41" ht="15.75" customHeight="1"/>
    <row r="76" spans="1:41" ht="15.75" customHeight="1"/>
    <row r="77" spans="1:41" ht="15.75" customHeight="1"/>
    <row r="78" spans="1:41" ht="15.75" customHeight="1"/>
    <row r="79" spans="1:41" ht="15.75" customHeight="1"/>
    <row r="80" spans="1:4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honeticPr fontId="29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01"/>
  <sheetViews>
    <sheetView topLeftCell="X1" workbookViewId="0">
      <pane ySplit="5" topLeftCell="A59" activePane="bottomLeft" state="frozen"/>
      <selection pane="bottomLeft" activeCell="B7" sqref="B7"/>
    </sheetView>
  </sheetViews>
  <sheetFormatPr defaultColWidth="11.19921875" defaultRowHeight="15" customHeight="1" outlineLevelRow="1"/>
  <cols>
    <col min="1" max="1" width="17.3984375" customWidth="1"/>
    <col min="2" max="2" width="11.296875" customWidth="1"/>
    <col min="3" max="3" width="3.69921875" customWidth="1"/>
    <col min="4" max="9" width="10.796875" customWidth="1"/>
    <col min="10" max="39" width="10.59765625" customWidth="1"/>
  </cols>
  <sheetData>
    <row r="1" spans="1:39" ht="27" customHeight="1">
      <c r="A1" s="21" t="s">
        <v>28</v>
      </c>
      <c r="B1" s="22"/>
      <c r="C1" s="23"/>
      <c r="D1" s="24"/>
      <c r="E1" s="24"/>
      <c r="F1" s="24"/>
      <c r="G1" s="24"/>
      <c r="H1" s="24"/>
      <c r="I1" s="25"/>
      <c r="J1" s="25"/>
      <c r="K1" s="25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  <c r="Z1" s="25"/>
      <c r="AA1" s="25"/>
      <c r="AB1" s="24"/>
      <c r="AC1" s="24"/>
      <c r="AD1" s="24"/>
      <c r="AE1" s="24"/>
      <c r="AF1" s="24"/>
      <c r="AG1" s="24"/>
      <c r="AH1" s="24"/>
      <c r="AI1" s="24"/>
      <c r="AJ1" s="24"/>
      <c r="AK1" s="25"/>
      <c r="AL1" s="25"/>
      <c r="AM1" s="25"/>
    </row>
    <row r="2" spans="1:39" ht="27" customHeight="1">
      <c r="A2" s="18"/>
      <c r="C2" s="23"/>
      <c r="D2" s="85"/>
      <c r="E2" s="24"/>
      <c r="F2" s="24"/>
      <c r="G2" s="24"/>
      <c r="H2" s="24"/>
      <c r="I2" s="25"/>
      <c r="J2" s="25"/>
      <c r="K2" s="25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5"/>
      <c r="Z2" s="25"/>
      <c r="AA2" s="25"/>
      <c r="AB2" s="24"/>
      <c r="AC2" s="24"/>
      <c r="AD2" s="24"/>
      <c r="AE2" s="24"/>
      <c r="AF2" s="24"/>
      <c r="AG2" s="24"/>
      <c r="AH2" s="24"/>
      <c r="AI2" s="24"/>
      <c r="AJ2" s="24"/>
      <c r="AK2" s="25"/>
      <c r="AL2" s="25"/>
      <c r="AM2" s="25"/>
    </row>
    <row r="3" spans="1:39" ht="15.75" customHeight="1">
      <c r="A3" s="86"/>
      <c r="B3" s="22"/>
      <c r="D3" s="24"/>
      <c r="E3" s="24"/>
      <c r="F3" s="24"/>
      <c r="H3" s="24"/>
      <c r="I3" s="25"/>
      <c r="J3" s="25"/>
      <c r="K3" s="25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5"/>
      <c r="Z3" s="25"/>
      <c r="AA3" s="25"/>
      <c r="AB3" s="24"/>
      <c r="AC3" s="24"/>
      <c r="AD3" s="24"/>
      <c r="AE3" s="24"/>
      <c r="AF3" s="24"/>
      <c r="AG3" s="24"/>
      <c r="AH3" s="24"/>
      <c r="AI3" s="24"/>
      <c r="AJ3" s="24"/>
      <c r="AK3" s="25"/>
      <c r="AL3" s="25"/>
      <c r="AM3" s="25"/>
    </row>
    <row r="4" spans="1:39" ht="16.5" customHeight="1">
      <c r="A4" s="21"/>
      <c r="B4" s="22"/>
      <c r="C4" s="23"/>
      <c r="D4" s="24"/>
      <c r="E4" s="24"/>
      <c r="F4" s="24"/>
      <c r="G4" s="24"/>
      <c r="H4" s="24"/>
      <c r="I4" s="25"/>
      <c r="J4" s="25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5"/>
      <c r="Z4" s="25"/>
      <c r="AA4" s="25"/>
      <c r="AB4" s="24"/>
      <c r="AC4" s="24"/>
      <c r="AD4" s="24"/>
      <c r="AE4" s="24"/>
      <c r="AF4" s="24"/>
      <c r="AG4" s="24"/>
      <c r="AH4" s="24"/>
      <c r="AI4" s="24"/>
      <c r="AJ4" s="24"/>
      <c r="AK4" s="25"/>
      <c r="AL4" s="25"/>
      <c r="AM4" s="25"/>
    </row>
    <row r="5" spans="1:39" ht="12" customHeight="1">
      <c r="A5" s="37"/>
      <c r="B5" s="80"/>
      <c r="C5" s="39"/>
      <c r="D5" s="40">
        <f>'Inputs - Fixed Costs (OpEx)'!F7</f>
        <v>45658</v>
      </c>
      <c r="E5" s="40">
        <f>'Inputs - Fixed Costs (OpEx)'!G7</f>
        <v>45689</v>
      </c>
      <c r="F5" s="40">
        <f>'Inputs - Fixed Costs (OpEx)'!H7</f>
        <v>45717</v>
      </c>
      <c r="G5" s="40">
        <f>'Inputs - Fixed Costs (OpEx)'!I7</f>
        <v>45748</v>
      </c>
      <c r="H5" s="40">
        <f>'Inputs - Fixed Costs (OpEx)'!J7</f>
        <v>45778</v>
      </c>
      <c r="I5" s="40">
        <f>'Inputs - Fixed Costs (OpEx)'!K7</f>
        <v>45809</v>
      </c>
      <c r="J5" s="40">
        <f>'Inputs - Fixed Costs (OpEx)'!L7</f>
        <v>45839</v>
      </c>
      <c r="K5" s="40">
        <f>'Inputs - Fixed Costs (OpEx)'!M7</f>
        <v>45870</v>
      </c>
      <c r="L5" s="40">
        <f>'Inputs - Fixed Costs (OpEx)'!N7</f>
        <v>45901</v>
      </c>
      <c r="M5" s="40">
        <f>'Inputs - Fixed Costs (OpEx)'!O7</f>
        <v>45931</v>
      </c>
      <c r="N5" s="40">
        <f>'Inputs - Fixed Costs (OpEx)'!P7</f>
        <v>45962</v>
      </c>
      <c r="O5" s="40">
        <f>'Inputs - Fixed Costs (OpEx)'!Q7</f>
        <v>45992</v>
      </c>
      <c r="P5" s="40">
        <f>'Inputs - Fixed Costs (OpEx)'!R7</f>
        <v>46023</v>
      </c>
      <c r="Q5" s="40">
        <f>'Inputs - Fixed Costs (OpEx)'!S7</f>
        <v>46054</v>
      </c>
      <c r="R5" s="40">
        <f>'Inputs - Fixed Costs (OpEx)'!T7</f>
        <v>46082</v>
      </c>
      <c r="S5" s="40">
        <f>'Inputs - Fixed Costs (OpEx)'!U7</f>
        <v>46113</v>
      </c>
      <c r="T5" s="40">
        <f>'Inputs - Fixed Costs (OpEx)'!V7</f>
        <v>46143</v>
      </c>
      <c r="U5" s="40">
        <f>'Inputs - Fixed Costs (OpEx)'!W7</f>
        <v>46174</v>
      </c>
      <c r="V5" s="40">
        <f>'Inputs - Fixed Costs (OpEx)'!X7</f>
        <v>46204</v>
      </c>
      <c r="W5" s="40">
        <f>'Inputs - Fixed Costs (OpEx)'!Y7</f>
        <v>46235</v>
      </c>
      <c r="X5" s="40">
        <f>'Inputs - Fixed Costs (OpEx)'!Z7</f>
        <v>46266</v>
      </c>
      <c r="Y5" s="40">
        <f>'Inputs - Fixed Costs (OpEx)'!AA7</f>
        <v>46296</v>
      </c>
      <c r="Z5" s="40">
        <f>'Inputs - Fixed Costs (OpEx)'!AB7</f>
        <v>46327</v>
      </c>
      <c r="AA5" s="40">
        <f>'Inputs - Fixed Costs (OpEx)'!AC7</f>
        <v>46357</v>
      </c>
      <c r="AB5" s="40">
        <f>'Inputs - Fixed Costs (OpEx)'!AD7</f>
        <v>46388</v>
      </c>
      <c r="AC5" s="40">
        <f>'Inputs - Fixed Costs (OpEx)'!AE7</f>
        <v>46419</v>
      </c>
      <c r="AD5" s="40">
        <f>'Inputs - Fixed Costs (OpEx)'!AF7</f>
        <v>46447</v>
      </c>
      <c r="AE5" s="40">
        <f>'Inputs - Fixed Costs (OpEx)'!AG7</f>
        <v>46478</v>
      </c>
      <c r="AF5" s="40">
        <f>'Inputs - Fixed Costs (OpEx)'!AH7</f>
        <v>46508</v>
      </c>
      <c r="AG5" s="40">
        <f>'Inputs - Fixed Costs (OpEx)'!AI7</f>
        <v>46539</v>
      </c>
      <c r="AH5" s="40">
        <f>'Inputs - Fixed Costs (OpEx)'!AJ7</f>
        <v>46569</v>
      </c>
      <c r="AI5" s="40">
        <f>'Inputs - Fixed Costs (OpEx)'!AK7</f>
        <v>46600</v>
      </c>
      <c r="AJ5" s="40">
        <f>'Inputs - Fixed Costs (OpEx)'!AL7</f>
        <v>46631</v>
      </c>
      <c r="AK5" s="40">
        <f>'Inputs - Fixed Costs (OpEx)'!AM7</f>
        <v>46661</v>
      </c>
      <c r="AL5" s="40">
        <f>'Inputs - Fixed Costs (OpEx)'!AN7</f>
        <v>46692</v>
      </c>
      <c r="AM5" s="40">
        <f>'Inputs - Fixed Costs (OpEx)'!AO7</f>
        <v>46722</v>
      </c>
    </row>
    <row r="6" spans="1:39" ht="15.75" customHeight="1"/>
    <row r="7" spans="1:39" ht="12" customHeight="1">
      <c r="A7" s="41" t="s">
        <v>37</v>
      </c>
      <c r="B7" s="51"/>
      <c r="C7" s="42"/>
      <c r="D7" s="37"/>
      <c r="E7" s="37"/>
      <c r="F7" s="37"/>
      <c r="G7" s="37"/>
      <c r="H7" s="43"/>
      <c r="I7" s="43"/>
      <c r="J7" s="43"/>
      <c r="K7" s="43"/>
      <c r="L7" s="37"/>
      <c r="M7" s="43"/>
      <c r="N7" s="37"/>
      <c r="O7" s="37"/>
      <c r="P7" s="37"/>
      <c r="Q7" s="37"/>
      <c r="R7" s="37"/>
      <c r="S7" s="37"/>
      <c r="T7" s="37"/>
      <c r="U7" s="37"/>
      <c r="V7" s="37"/>
      <c r="W7" s="37"/>
      <c r="X7" s="43"/>
      <c r="Y7" s="43"/>
      <c r="Z7" s="43"/>
      <c r="AA7" s="43"/>
      <c r="AB7" s="37"/>
      <c r="AC7" s="37"/>
      <c r="AD7" s="37"/>
      <c r="AE7" s="37"/>
      <c r="AF7" s="37"/>
      <c r="AG7" s="37"/>
      <c r="AH7" s="37"/>
      <c r="AI7" s="37"/>
      <c r="AJ7" s="43"/>
      <c r="AK7" s="43"/>
      <c r="AL7" s="43"/>
      <c r="AM7" s="43"/>
    </row>
    <row r="8" spans="1:39" ht="12" customHeight="1">
      <c r="A8" s="41"/>
      <c r="B8" s="18"/>
      <c r="C8" s="42"/>
      <c r="D8" s="37"/>
      <c r="E8" s="18"/>
      <c r="F8" s="37"/>
      <c r="G8" s="37"/>
      <c r="H8" s="43"/>
      <c r="I8" s="43"/>
      <c r="J8" s="43"/>
      <c r="K8" s="43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43"/>
      <c r="Y8" s="43"/>
      <c r="Z8" s="43"/>
      <c r="AA8" s="43"/>
      <c r="AB8" s="37"/>
      <c r="AC8" s="37"/>
      <c r="AD8" s="37"/>
      <c r="AE8" s="37"/>
      <c r="AF8" s="37"/>
      <c r="AG8" s="37"/>
      <c r="AH8" s="37"/>
      <c r="AI8" s="37"/>
      <c r="AJ8" s="43"/>
      <c r="AK8" s="43"/>
      <c r="AL8" s="43"/>
      <c r="AM8" s="43"/>
    </row>
    <row r="9" spans="1:39" ht="12" customHeight="1" outlineLevel="1">
      <c r="A9" s="44" t="str">
        <f>'Inputs - Products'!A8</f>
        <v>Isotretinoin Monitoring App - Annual Provider Subscription</v>
      </c>
      <c r="B9" s="38"/>
      <c r="C9" s="45"/>
      <c r="D9" s="37">
        <f>'Inputs - Sales &amp; Investment'!D9</f>
        <v>0</v>
      </c>
      <c r="E9" s="37">
        <f>'Inputs - Sales &amp; Investment'!E9</f>
        <v>0</v>
      </c>
      <c r="F9" s="37">
        <f>'Inputs - Sales &amp; Investment'!F9</f>
        <v>0</v>
      </c>
      <c r="G9" s="37">
        <f>'Inputs - Sales &amp; Investment'!G9</f>
        <v>0</v>
      </c>
      <c r="H9" s="37">
        <f>'Inputs - Sales &amp; Investment'!H9</f>
        <v>0</v>
      </c>
      <c r="I9" s="37">
        <f>'Inputs - Sales &amp; Investment'!I9</f>
        <v>0</v>
      </c>
      <c r="J9" s="37">
        <f>'Inputs - Sales &amp; Investment'!J9</f>
        <v>1</v>
      </c>
      <c r="K9" s="37">
        <f>'Inputs - Sales &amp; Investment'!K9</f>
        <v>0</v>
      </c>
      <c r="L9" s="37">
        <f>'Inputs - Sales &amp; Investment'!L9</f>
        <v>1</v>
      </c>
      <c r="M9" s="37">
        <f>'Inputs - Sales &amp; Investment'!M9</f>
        <v>0</v>
      </c>
      <c r="N9" s="37">
        <f>'Inputs - Sales &amp; Investment'!N9</f>
        <v>1</v>
      </c>
      <c r="O9" s="37">
        <f>'Inputs - Sales &amp; Investment'!O9</f>
        <v>0</v>
      </c>
      <c r="P9" s="37">
        <f>'Inputs - Sales &amp; Investment'!P9</f>
        <v>1</v>
      </c>
      <c r="Q9" s="37">
        <f>'Inputs - Sales &amp; Investment'!Q9</f>
        <v>0</v>
      </c>
      <c r="R9" s="37">
        <f>'Inputs - Sales &amp; Investment'!R9</f>
        <v>1</v>
      </c>
      <c r="S9" s="37">
        <f>'Inputs - Sales &amp; Investment'!S9</f>
        <v>0</v>
      </c>
      <c r="T9" s="37">
        <f>'Inputs - Sales &amp; Investment'!T9</f>
        <v>1</v>
      </c>
      <c r="U9" s="37">
        <f>'Inputs - Sales &amp; Investment'!U9</f>
        <v>0</v>
      </c>
      <c r="V9" s="37">
        <f>'Inputs - Sales &amp; Investment'!V9</f>
        <v>1</v>
      </c>
      <c r="W9" s="37">
        <f>'Inputs - Sales &amp; Investment'!W9</f>
        <v>0</v>
      </c>
      <c r="X9" s="37">
        <f>'Inputs - Sales &amp; Investment'!X9</f>
        <v>1</v>
      </c>
      <c r="Y9" s="37">
        <f>'Inputs - Sales &amp; Investment'!Y9</f>
        <v>0</v>
      </c>
      <c r="Z9" s="37">
        <f>'Inputs - Sales &amp; Investment'!Z9</f>
        <v>1</v>
      </c>
      <c r="AA9" s="37">
        <f>'Inputs - Sales &amp; Investment'!AA9</f>
        <v>0</v>
      </c>
      <c r="AB9" s="37">
        <f>'Inputs - Sales &amp; Investment'!AB9</f>
        <v>1</v>
      </c>
      <c r="AC9" s="37">
        <f>'Inputs - Sales &amp; Investment'!AC9</f>
        <v>2</v>
      </c>
      <c r="AD9" s="37">
        <f>'Inputs - Sales &amp; Investment'!AD9</f>
        <v>1</v>
      </c>
      <c r="AE9" s="37">
        <f>'Inputs - Sales &amp; Investment'!AE9</f>
        <v>2</v>
      </c>
      <c r="AF9" s="37">
        <f>'Inputs - Sales &amp; Investment'!AF9</f>
        <v>1</v>
      </c>
      <c r="AG9" s="37">
        <f>'Inputs - Sales &amp; Investment'!AG9</f>
        <v>1</v>
      </c>
      <c r="AH9" s="37">
        <f>'Inputs - Sales &amp; Investment'!AH9</f>
        <v>1</v>
      </c>
      <c r="AI9" s="37">
        <f>'Inputs - Sales &amp; Investment'!AI9</f>
        <v>2</v>
      </c>
      <c r="AJ9" s="37">
        <f>'Inputs - Sales &amp; Investment'!AJ9</f>
        <v>1</v>
      </c>
      <c r="AK9" s="37">
        <f>'Inputs - Sales &amp; Investment'!AK9</f>
        <v>1</v>
      </c>
      <c r="AL9" s="37">
        <f>'Inputs - Sales &amp; Investment'!AL9</f>
        <v>1</v>
      </c>
      <c r="AM9" s="37">
        <f>'Inputs - Sales &amp; Investment'!AM9</f>
        <v>1</v>
      </c>
    </row>
    <row r="10" spans="1:39" ht="12" customHeight="1" outlineLevel="1">
      <c r="A10" s="44" t="str">
        <f>'Inputs - Products'!A9</f>
        <v>Product 2</v>
      </c>
      <c r="B10" s="38"/>
      <c r="C10" s="45"/>
      <c r="D10" s="37">
        <f>'Inputs - Sales &amp; Investment'!D10</f>
        <v>0</v>
      </c>
      <c r="E10" s="37">
        <f>'Inputs - Sales &amp; Investment'!E10</f>
        <v>0</v>
      </c>
      <c r="F10" s="37">
        <f>'Inputs - Sales &amp; Investment'!F10</f>
        <v>0</v>
      </c>
      <c r="G10" s="37">
        <f>'Inputs - Sales &amp; Investment'!G10</f>
        <v>0</v>
      </c>
      <c r="H10" s="37">
        <f>'Inputs - Sales &amp; Investment'!H10</f>
        <v>0</v>
      </c>
      <c r="I10" s="37">
        <f>'Inputs - Sales &amp; Investment'!I10</f>
        <v>0</v>
      </c>
      <c r="J10" s="37">
        <f>'Inputs - Sales &amp; Investment'!J10</f>
        <v>0</v>
      </c>
      <c r="K10" s="37">
        <f>'Inputs - Sales &amp; Investment'!K10</f>
        <v>0</v>
      </c>
      <c r="L10" s="37">
        <f>'Inputs - Sales &amp; Investment'!L10</f>
        <v>0</v>
      </c>
      <c r="M10" s="37">
        <f>'Inputs - Sales &amp; Investment'!M10</f>
        <v>0</v>
      </c>
      <c r="N10" s="37">
        <f>'Inputs - Sales &amp; Investment'!N10</f>
        <v>0</v>
      </c>
      <c r="O10" s="37">
        <f>'Inputs - Sales &amp; Investment'!O10</f>
        <v>0</v>
      </c>
      <c r="P10" s="37">
        <f>'Inputs - Sales &amp; Investment'!P10</f>
        <v>0</v>
      </c>
      <c r="Q10" s="37">
        <f>'Inputs - Sales &amp; Investment'!Q10</f>
        <v>0</v>
      </c>
      <c r="R10" s="37">
        <f>'Inputs - Sales &amp; Investment'!R10</f>
        <v>0</v>
      </c>
      <c r="S10" s="37">
        <f>'Inputs - Sales &amp; Investment'!S10</f>
        <v>0</v>
      </c>
      <c r="T10" s="37">
        <f>'Inputs - Sales &amp; Investment'!T10</f>
        <v>0</v>
      </c>
      <c r="U10" s="37">
        <f>'Inputs - Sales &amp; Investment'!U10</f>
        <v>0</v>
      </c>
      <c r="V10" s="37">
        <f>'Inputs - Sales &amp; Investment'!V10</f>
        <v>0</v>
      </c>
      <c r="W10" s="37">
        <f>'Inputs - Sales &amp; Investment'!W10</f>
        <v>0</v>
      </c>
      <c r="X10" s="37">
        <f>'Inputs - Sales &amp; Investment'!X10</f>
        <v>0</v>
      </c>
      <c r="Y10" s="37">
        <f>'Inputs - Sales &amp; Investment'!Y10</f>
        <v>0</v>
      </c>
      <c r="Z10" s="37">
        <f>'Inputs - Sales &amp; Investment'!Z10</f>
        <v>0</v>
      </c>
      <c r="AA10" s="37">
        <f>'Inputs - Sales &amp; Investment'!AA10</f>
        <v>0</v>
      </c>
      <c r="AB10" s="37">
        <f>'Inputs - Sales &amp; Investment'!AB10</f>
        <v>0</v>
      </c>
      <c r="AC10" s="37">
        <f>'Inputs - Sales &amp; Investment'!AC10</f>
        <v>0</v>
      </c>
      <c r="AD10" s="37">
        <f>'Inputs - Sales &amp; Investment'!AD10</f>
        <v>0</v>
      </c>
      <c r="AE10" s="37">
        <f>'Inputs - Sales &amp; Investment'!AE10</f>
        <v>0</v>
      </c>
      <c r="AF10" s="37">
        <f>'Inputs - Sales &amp; Investment'!AF10</f>
        <v>0</v>
      </c>
      <c r="AG10" s="37">
        <f>'Inputs - Sales &amp; Investment'!AG10</f>
        <v>0</v>
      </c>
      <c r="AH10" s="37">
        <f>'Inputs - Sales &amp; Investment'!AH10</f>
        <v>0</v>
      </c>
      <c r="AI10" s="37">
        <f>'Inputs - Sales &amp; Investment'!AI10</f>
        <v>0</v>
      </c>
      <c r="AJ10" s="37">
        <f>'Inputs - Sales &amp; Investment'!AJ10</f>
        <v>0</v>
      </c>
      <c r="AK10" s="37">
        <f>'Inputs - Sales &amp; Investment'!AK10</f>
        <v>0</v>
      </c>
      <c r="AL10" s="37">
        <f>'Inputs - Sales &amp; Investment'!AL10</f>
        <v>0</v>
      </c>
      <c r="AM10" s="37">
        <f>'Inputs - Sales &amp; Investment'!AM10</f>
        <v>0</v>
      </c>
    </row>
    <row r="11" spans="1:39" ht="12" customHeight="1" outlineLevel="1">
      <c r="A11" s="44" t="str">
        <f>'Inputs - Products'!A10</f>
        <v>Product 3</v>
      </c>
      <c r="B11" s="38"/>
      <c r="C11" s="45"/>
      <c r="D11" s="37">
        <f>'Inputs - Sales &amp; Investment'!D11</f>
        <v>0</v>
      </c>
      <c r="E11" s="37">
        <f>'Inputs - Sales &amp; Investment'!E11</f>
        <v>0</v>
      </c>
      <c r="F11" s="37">
        <f>'Inputs - Sales &amp; Investment'!F11</f>
        <v>0</v>
      </c>
      <c r="G11" s="37">
        <f>'Inputs - Sales &amp; Investment'!G11</f>
        <v>0</v>
      </c>
      <c r="H11" s="37">
        <f>'Inputs - Sales &amp; Investment'!H11</f>
        <v>0</v>
      </c>
      <c r="I11" s="37">
        <f>'Inputs - Sales &amp; Investment'!I11</f>
        <v>0</v>
      </c>
      <c r="J11" s="37">
        <f>'Inputs - Sales &amp; Investment'!J11</f>
        <v>0</v>
      </c>
      <c r="K11" s="37">
        <f>'Inputs - Sales &amp; Investment'!K11</f>
        <v>0</v>
      </c>
      <c r="L11" s="37">
        <f>'Inputs - Sales &amp; Investment'!L11</f>
        <v>0</v>
      </c>
      <c r="M11" s="37">
        <f>'Inputs - Sales &amp; Investment'!M11</f>
        <v>0</v>
      </c>
      <c r="N11" s="37">
        <f>'Inputs - Sales &amp; Investment'!N11</f>
        <v>0</v>
      </c>
      <c r="O11" s="37">
        <f>'Inputs - Sales &amp; Investment'!O11</f>
        <v>0</v>
      </c>
      <c r="P11" s="37">
        <f>'Inputs - Sales &amp; Investment'!P11</f>
        <v>0</v>
      </c>
      <c r="Q11" s="37">
        <f>'Inputs - Sales &amp; Investment'!Q11</f>
        <v>0</v>
      </c>
      <c r="R11" s="37">
        <f>'Inputs - Sales &amp; Investment'!R11</f>
        <v>0</v>
      </c>
      <c r="S11" s="37">
        <f>'Inputs - Sales &amp; Investment'!S11</f>
        <v>0</v>
      </c>
      <c r="T11" s="37">
        <f>'Inputs - Sales &amp; Investment'!T11</f>
        <v>0</v>
      </c>
      <c r="U11" s="37">
        <f>'Inputs - Sales &amp; Investment'!U11</f>
        <v>0</v>
      </c>
      <c r="V11" s="37">
        <f>'Inputs - Sales &amp; Investment'!V11</f>
        <v>0</v>
      </c>
      <c r="W11" s="37">
        <f>'Inputs - Sales &amp; Investment'!W11</f>
        <v>0</v>
      </c>
      <c r="X11" s="37">
        <f>'Inputs - Sales &amp; Investment'!X11</f>
        <v>0</v>
      </c>
      <c r="Y11" s="37">
        <f>'Inputs - Sales &amp; Investment'!Y11</f>
        <v>0</v>
      </c>
      <c r="Z11" s="37">
        <f>'Inputs - Sales &amp; Investment'!Z11</f>
        <v>0</v>
      </c>
      <c r="AA11" s="37">
        <f>'Inputs - Sales &amp; Investment'!AA11</f>
        <v>0</v>
      </c>
      <c r="AB11" s="37">
        <f>'Inputs - Sales &amp; Investment'!AB11</f>
        <v>0</v>
      </c>
      <c r="AC11" s="37">
        <f>'Inputs - Sales &amp; Investment'!AC11</f>
        <v>0</v>
      </c>
      <c r="AD11" s="37">
        <f>'Inputs - Sales &amp; Investment'!AD11</f>
        <v>0</v>
      </c>
      <c r="AE11" s="37">
        <f>'Inputs - Sales &amp; Investment'!AE11</f>
        <v>0</v>
      </c>
      <c r="AF11" s="37">
        <f>'Inputs - Sales &amp; Investment'!AF11</f>
        <v>0</v>
      </c>
      <c r="AG11" s="37">
        <f>'Inputs - Sales &amp; Investment'!AG11</f>
        <v>0</v>
      </c>
      <c r="AH11" s="37">
        <f>'Inputs - Sales &amp; Investment'!AH11</f>
        <v>0</v>
      </c>
      <c r="AI11" s="37">
        <f>'Inputs - Sales &amp; Investment'!AI11</f>
        <v>0</v>
      </c>
      <c r="AJ11" s="37">
        <f>'Inputs - Sales &amp; Investment'!AJ11</f>
        <v>0</v>
      </c>
      <c r="AK11" s="37">
        <f>'Inputs - Sales &amp; Investment'!AK11</f>
        <v>0</v>
      </c>
      <c r="AL11" s="37">
        <f>'Inputs - Sales &amp; Investment'!AL11</f>
        <v>0</v>
      </c>
      <c r="AM11" s="37">
        <f>'Inputs - Sales &amp; Investment'!AM11</f>
        <v>0</v>
      </c>
    </row>
    <row r="12" spans="1:39" ht="12" customHeight="1" outlineLevel="1">
      <c r="A12" s="44" t="str">
        <f>'Inputs - Products'!A11</f>
        <v>Product 4</v>
      </c>
      <c r="B12" s="38"/>
      <c r="C12" s="45"/>
      <c r="D12" s="37">
        <f>'Inputs - Sales &amp; Investment'!D12</f>
        <v>0</v>
      </c>
      <c r="E12" s="37">
        <f>'Inputs - Sales &amp; Investment'!E12</f>
        <v>0</v>
      </c>
      <c r="F12" s="37">
        <f>'Inputs - Sales &amp; Investment'!F12</f>
        <v>0</v>
      </c>
      <c r="G12" s="37">
        <f>'Inputs - Sales &amp; Investment'!G12</f>
        <v>0</v>
      </c>
      <c r="H12" s="37">
        <f>'Inputs - Sales &amp; Investment'!H12</f>
        <v>0</v>
      </c>
      <c r="I12" s="37">
        <f>'Inputs - Sales &amp; Investment'!I12</f>
        <v>0</v>
      </c>
      <c r="J12" s="37">
        <f>'Inputs - Sales &amp; Investment'!J12</f>
        <v>0</v>
      </c>
      <c r="K12" s="37">
        <f>'Inputs - Sales &amp; Investment'!K12</f>
        <v>0</v>
      </c>
      <c r="L12" s="37">
        <f>'Inputs - Sales &amp; Investment'!L12</f>
        <v>0</v>
      </c>
      <c r="M12" s="37">
        <f>'Inputs - Sales &amp; Investment'!M12</f>
        <v>0</v>
      </c>
      <c r="N12" s="37">
        <f>'Inputs - Sales &amp; Investment'!N12</f>
        <v>0</v>
      </c>
      <c r="O12" s="37">
        <f>'Inputs - Sales &amp; Investment'!O12</f>
        <v>0</v>
      </c>
      <c r="P12" s="37">
        <f>'Inputs - Sales &amp; Investment'!P12</f>
        <v>0</v>
      </c>
      <c r="Q12" s="37">
        <f>'Inputs - Sales &amp; Investment'!Q12</f>
        <v>0</v>
      </c>
      <c r="R12" s="37">
        <f>'Inputs - Sales &amp; Investment'!R12</f>
        <v>0</v>
      </c>
      <c r="S12" s="37">
        <f>'Inputs - Sales &amp; Investment'!S12</f>
        <v>0</v>
      </c>
      <c r="T12" s="37">
        <f>'Inputs - Sales &amp; Investment'!T12</f>
        <v>0</v>
      </c>
      <c r="U12" s="37">
        <f>'Inputs - Sales &amp; Investment'!U12</f>
        <v>0</v>
      </c>
      <c r="V12" s="37">
        <f>'Inputs - Sales &amp; Investment'!V12</f>
        <v>0</v>
      </c>
      <c r="W12" s="37">
        <f>'Inputs - Sales &amp; Investment'!W12</f>
        <v>0</v>
      </c>
      <c r="X12" s="37">
        <f>'Inputs - Sales &amp; Investment'!X12</f>
        <v>0</v>
      </c>
      <c r="Y12" s="37">
        <f>'Inputs - Sales &amp; Investment'!Y12</f>
        <v>0</v>
      </c>
      <c r="Z12" s="37">
        <f>'Inputs - Sales &amp; Investment'!Z12</f>
        <v>0</v>
      </c>
      <c r="AA12" s="37">
        <f>'Inputs - Sales &amp; Investment'!AA12</f>
        <v>0</v>
      </c>
      <c r="AB12" s="37">
        <f>'Inputs - Sales &amp; Investment'!AB12</f>
        <v>0</v>
      </c>
      <c r="AC12" s="37">
        <f>'Inputs - Sales &amp; Investment'!AC12</f>
        <v>0</v>
      </c>
      <c r="AD12" s="37">
        <f>'Inputs - Sales &amp; Investment'!AD12</f>
        <v>0</v>
      </c>
      <c r="AE12" s="37">
        <f>'Inputs - Sales &amp; Investment'!AE12</f>
        <v>0</v>
      </c>
      <c r="AF12" s="37">
        <f>'Inputs - Sales &amp; Investment'!AF12</f>
        <v>0</v>
      </c>
      <c r="AG12" s="37">
        <f>'Inputs - Sales &amp; Investment'!AG12</f>
        <v>0</v>
      </c>
      <c r="AH12" s="37">
        <f>'Inputs - Sales &amp; Investment'!AH12</f>
        <v>0</v>
      </c>
      <c r="AI12" s="37">
        <f>'Inputs - Sales &amp; Investment'!AI12</f>
        <v>0</v>
      </c>
      <c r="AJ12" s="37">
        <f>'Inputs - Sales &amp; Investment'!AJ12</f>
        <v>0</v>
      </c>
      <c r="AK12" s="37">
        <f>'Inputs - Sales &amp; Investment'!AK12</f>
        <v>0</v>
      </c>
      <c r="AL12" s="37">
        <f>'Inputs - Sales &amp; Investment'!AL12</f>
        <v>0</v>
      </c>
      <c r="AM12" s="37">
        <f>'Inputs - Sales &amp; Investment'!AM12</f>
        <v>0</v>
      </c>
    </row>
    <row r="13" spans="1:39" ht="12" customHeight="1" outlineLevel="1">
      <c r="A13" s="44" t="str">
        <f>'Inputs - Products'!A12</f>
        <v>Product 5</v>
      </c>
      <c r="B13" s="38"/>
      <c r="C13" s="45"/>
      <c r="D13" s="37">
        <f>'Inputs - Sales &amp; Investment'!D13</f>
        <v>0</v>
      </c>
      <c r="E13" s="37">
        <f>'Inputs - Sales &amp; Investment'!E13</f>
        <v>0</v>
      </c>
      <c r="F13" s="37">
        <f>'Inputs - Sales &amp; Investment'!F13</f>
        <v>0</v>
      </c>
      <c r="G13" s="37">
        <f>'Inputs - Sales &amp; Investment'!G13</f>
        <v>0</v>
      </c>
      <c r="H13" s="37">
        <f>'Inputs - Sales &amp; Investment'!H13</f>
        <v>0</v>
      </c>
      <c r="I13" s="37">
        <f>'Inputs - Sales &amp; Investment'!I13</f>
        <v>0</v>
      </c>
      <c r="J13" s="37">
        <f>'Inputs - Sales &amp; Investment'!J13</f>
        <v>0</v>
      </c>
      <c r="K13" s="37">
        <f>'Inputs - Sales &amp; Investment'!K13</f>
        <v>0</v>
      </c>
      <c r="L13" s="37">
        <f>'Inputs - Sales &amp; Investment'!L13</f>
        <v>0</v>
      </c>
      <c r="M13" s="37">
        <f>'Inputs - Sales &amp; Investment'!M13</f>
        <v>0</v>
      </c>
      <c r="N13" s="37">
        <f>'Inputs - Sales &amp; Investment'!N13</f>
        <v>0</v>
      </c>
      <c r="O13" s="37">
        <f>'Inputs - Sales &amp; Investment'!O13</f>
        <v>0</v>
      </c>
      <c r="P13" s="37">
        <f>'Inputs - Sales &amp; Investment'!P13</f>
        <v>0</v>
      </c>
      <c r="Q13" s="37">
        <f>'Inputs - Sales &amp; Investment'!Q13</f>
        <v>0</v>
      </c>
      <c r="R13" s="37">
        <f>'Inputs - Sales &amp; Investment'!R13</f>
        <v>0</v>
      </c>
      <c r="S13" s="37">
        <f>'Inputs - Sales &amp; Investment'!S13</f>
        <v>0</v>
      </c>
      <c r="T13" s="37">
        <f>'Inputs - Sales &amp; Investment'!T13</f>
        <v>0</v>
      </c>
      <c r="U13" s="37">
        <f>'Inputs - Sales &amp; Investment'!U13</f>
        <v>0</v>
      </c>
      <c r="V13" s="37">
        <f>'Inputs - Sales &amp; Investment'!V13</f>
        <v>0</v>
      </c>
      <c r="W13" s="37">
        <f>'Inputs - Sales &amp; Investment'!W13</f>
        <v>0</v>
      </c>
      <c r="X13" s="37">
        <f>'Inputs - Sales &amp; Investment'!X13</f>
        <v>0</v>
      </c>
      <c r="Y13" s="37">
        <f>'Inputs - Sales &amp; Investment'!Y13</f>
        <v>0</v>
      </c>
      <c r="Z13" s="37">
        <f>'Inputs - Sales &amp; Investment'!Z13</f>
        <v>0</v>
      </c>
      <c r="AA13" s="37">
        <f>'Inputs - Sales &amp; Investment'!AA13</f>
        <v>0</v>
      </c>
      <c r="AB13" s="37">
        <f>'Inputs - Sales &amp; Investment'!AB13</f>
        <v>0</v>
      </c>
      <c r="AC13" s="37">
        <f>'Inputs - Sales &amp; Investment'!AC13</f>
        <v>0</v>
      </c>
      <c r="AD13" s="37">
        <f>'Inputs - Sales &amp; Investment'!AD13</f>
        <v>0</v>
      </c>
      <c r="AE13" s="37">
        <f>'Inputs - Sales &amp; Investment'!AE13</f>
        <v>0</v>
      </c>
      <c r="AF13" s="37">
        <f>'Inputs - Sales &amp; Investment'!AF13</f>
        <v>0</v>
      </c>
      <c r="AG13" s="37">
        <f>'Inputs - Sales &amp; Investment'!AG13</f>
        <v>0</v>
      </c>
      <c r="AH13" s="37">
        <f>'Inputs - Sales &amp; Investment'!AH13</f>
        <v>0</v>
      </c>
      <c r="AI13" s="37">
        <f>'Inputs - Sales &amp; Investment'!AI13</f>
        <v>0</v>
      </c>
      <c r="AJ13" s="37">
        <f>'Inputs - Sales &amp; Investment'!AJ13</f>
        <v>0</v>
      </c>
      <c r="AK13" s="37">
        <f>'Inputs - Sales &amp; Investment'!AK13</f>
        <v>0</v>
      </c>
      <c r="AL13" s="37">
        <f>'Inputs - Sales &amp; Investment'!AL13</f>
        <v>0</v>
      </c>
      <c r="AM13" s="37">
        <f>'Inputs - Sales &amp; Investment'!AM13</f>
        <v>0</v>
      </c>
    </row>
    <row r="14" spans="1:39" ht="12" customHeight="1" outlineLevel="1">
      <c r="A14" s="44" t="str">
        <f>'Inputs - Products'!A13</f>
        <v>Product 6</v>
      </c>
      <c r="B14" s="38"/>
      <c r="C14" s="45"/>
      <c r="D14" s="37">
        <f>'Inputs - Sales &amp; Investment'!D14</f>
        <v>0</v>
      </c>
      <c r="E14" s="37">
        <f>'Inputs - Sales &amp; Investment'!E14</f>
        <v>0</v>
      </c>
      <c r="F14" s="37">
        <f>'Inputs - Sales &amp; Investment'!F14</f>
        <v>0</v>
      </c>
      <c r="G14" s="37">
        <f>'Inputs - Sales &amp; Investment'!G14</f>
        <v>0</v>
      </c>
      <c r="H14" s="37">
        <f>'Inputs - Sales &amp; Investment'!H14</f>
        <v>0</v>
      </c>
      <c r="I14" s="37">
        <f>'Inputs - Sales &amp; Investment'!I14</f>
        <v>0</v>
      </c>
      <c r="J14" s="37">
        <f>'Inputs - Sales &amp; Investment'!J14</f>
        <v>0</v>
      </c>
      <c r="K14" s="37">
        <f>'Inputs - Sales &amp; Investment'!K14</f>
        <v>0</v>
      </c>
      <c r="L14" s="37">
        <f>'Inputs - Sales &amp; Investment'!L14</f>
        <v>0</v>
      </c>
      <c r="M14" s="37">
        <f>'Inputs - Sales &amp; Investment'!M14</f>
        <v>0</v>
      </c>
      <c r="N14" s="37">
        <f>'Inputs - Sales &amp; Investment'!N14</f>
        <v>0</v>
      </c>
      <c r="O14" s="37">
        <f>'Inputs - Sales &amp; Investment'!O14</f>
        <v>0</v>
      </c>
      <c r="P14" s="37">
        <f>'Inputs - Sales &amp; Investment'!P14</f>
        <v>0</v>
      </c>
      <c r="Q14" s="37">
        <f>'Inputs - Sales &amp; Investment'!Q14</f>
        <v>0</v>
      </c>
      <c r="R14" s="37">
        <f>'Inputs - Sales &amp; Investment'!R14</f>
        <v>0</v>
      </c>
      <c r="S14" s="37">
        <f>'Inputs - Sales &amp; Investment'!S14</f>
        <v>0</v>
      </c>
      <c r="T14" s="37">
        <f>'Inputs - Sales &amp; Investment'!T14</f>
        <v>0</v>
      </c>
      <c r="U14" s="37">
        <f>'Inputs - Sales &amp; Investment'!U14</f>
        <v>0</v>
      </c>
      <c r="V14" s="37">
        <f>'Inputs - Sales &amp; Investment'!V14</f>
        <v>0</v>
      </c>
      <c r="W14" s="37">
        <f>'Inputs - Sales &amp; Investment'!W14</f>
        <v>0</v>
      </c>
      <c r="X14" s="37">
        <f>'Inputs - Sales &amp; Investment'!X14</f>
        <v>0</v>
      </c>
      <c r="Y14" s="37">
        <f>'Inputs - Sales &amp; Investment'!Y14</f>
        <v>0</v>
      </c>
      <c r="Z14" s="37">
        <f>'Inputs - Sales &amp; Investment'!Z14</f>
        <v>0</v>
      </c>
      <c r="AA14" s="37">
        <f>'Inputs - Sales &amp; Investment'!AA14</f>
        <v>0</v>
      </c>
      <c r="AB14" s="37">
        <f>'Inputs - Sales &amp; Investment'!AB14</f>
        <v>0</v>
      </c>
      <c r="AC14" s="37">
        <f>'Inputs - Sales &amp; Investment'!AC14</f>
        <v>0</v>
      </c>
      <c r="AD14" s="37">
        <f>'Inputs - Sales &amp; Investment'!AD14</f>
        <v>0</v>
      </c>
      <c r="AE14" s="37">
        <f>'Inputs - Sales &amp; Investment'!AE14</f>
        <v>0</v>
      </c>
      <c r="AF14" s="37">
        <f>'Inputs - Sales &amp; Investment'!AF14</f>
        <v>0</v>
      </c>
      <c r="AG14" s="37">
        <f>'Inputs - Sales &amp; Investment'!AG14</f>
        <v>0</v>
      </c>
      <c r="AH14" s="37">
        <f>'Inputs - Sales &amp; Investment'!AH14</f>
        <v>0</v>
      </c>
      <c r="AI14" s="37">
        <f>'Inputs - Sales &amp; Investment'!AI14</f>
        <v>0</v>
      </c>
      <c r="AJ14" s="37">
        <f>'Inputs - Sales &amp; Investment'!AJ14</f>
        <v>0</v>
      </c>
      <c r="AK14" s="37">
        <f>'Inputs - Sales &amp; Investment'!AK14</f>
        <v>0</v>
      </c>
      <c r="AL14" s="37">
        <f>'Inputs - Sales &amp; Investment'!AL14</f>
        <v>0</v>
      </c>
      <c r="AM14" s="37">
        <f>'Inputs - Sales &amp; Investment'!AM14</f>
        <v>0</v>
      </c>
    </row>
    <row r="15" spans="1:39" ht="12" customHeight="1">
      <c r="A15" s="48" t="s">
        <v>38</v>
      </c>
      <c r="B15" s="49"/>
      <c r="C15" s="48"/>
      <c r="D15" s="48">
        <f t="shared" ref="D15:AM15" si="0">SUM(D9:D14)</f>
        <v>0</v>
      </c>
      <c r="E15" s="48">
        <f t="shared" si="0"/>
        <v>0</v>
      </c>
      <c r="F15" s="48">
        <f t="shared" si="0"/>
        <v>0</v>
      </c>
      <c r="G15" s="48">
        <f t="shared" si="0"/>
        <v>0</v>
      </c>
      <c r="H15" s="48">
        <f t="shared" si="0"/>
        <v>0</v>
      </c>
      <c r="I15" s="48">
        <f t="shared" si="0"/>
        <v>0</v>
      </c>
      <c r="J15" s="48">
        <f t="shared" si="0"/>
        <v>1</v>
      </c>
      <c r="K15" s="48">
        <f t="shared" si="0"/>
        <v>0</v>
      </c>
      <c r="L15" s="48">
        <f t="shared" si="0"/>
        <v>1</v>
      </c>
      <c r="M15" s="48">
        <f t="shared" si="0"/>
        <v>0</v>
      </c>
      <c r="N15" s="48">
        <f t="shared" si="0"/>
        <v>1</v>
      </c>
      <c r="O15" s="48">
        <f t="shared" si="0"/>
        <v>0</v>
      </c>
      <c r="P15" s="48">
        <f t="shared" si="0"/>
        <v>1</v>
      </c>
      <c r="Q15" s="48">
        <f t="shared" si="0"/>
        <v>0</v>
      </c>
      <c r="R15" s="48">
        <f t="shared" si="0"/>
        <v>1</v>
      </c>
      <c r="S15" s="48">
        <f t="shared" si="0"/>
        <v>0</v>
      </c>
      <c r="T15" s="48">
        <f t="shared" si="0"/>
        <v>1</v>
      </c>
      <c r="U15" s="48">
        <f t="shared" si="0"/>
        <v>0</v>
      </c>
      <c r="V15" s="48">
        <f t="shared" si="0"/>
        <v>1</v>
      </c>
      <c r="W15" s="48">
        <f t="shared" si="0"/>
        <v>0</v>
      </c>
      <c r="X15" s="48">
        <f t="shared" si="0"/>
        <v>1</v>
      </c>
      <c r="Y15" s="48">
        <f t="shared" si="0"/>
        <v>0</v>
      </c>
      <c r="Z15" s="48">
        <f t="shared" si="0"/>
        <v>1</v>
      </c>
      <c r="AA15" s="48">
        <f t="shared" si="0"/>
        <v>0</v>
      </c>
      <c r="AB15" s="48">
        <f t="shared" si="0"/>
        <v>1</v>
      </c>
      <c r="AC15" s="48">
        <f t="shared" si="0"/>
        <v>2</v>
      </c>
      <c r="AD15" s="48">
        <f t="shared" si="0"/>
        <v>1</v>
      </c>
      <c r="AE15" s="48">
        <f t="shared" si="0"/>
        <v>2</v>
      </c>
      <c r="AF15" s="48">
        <f t="shared" si="0"/>
        <v>1</v>
      </c>
      <c r="AG15" s="48">
        <f t="shared" si="0"/>
        <v>1</v>
      </c>
      <c r="AH15" s="48">
        <f t="shared" si="0"/>
        <v>1</v>
      </c>
      <c r="AI15" s="48">
        <f t="shared" si="0"/>
        <v>2</v>
      </c>
      <c r="AJ15" s="48">
        <f t="shared" si="0"/>
        <v>1</v>
      </c>
      <c r="AK15" s="48">
        <f t="shared" si="0"/>
        <v>1</v>
      </c>
      <c r="AL15" s="48">
        <f t="shared" si="0"/>
        <v>1</v>
      </c>
      <c r="AM15" s="48">
        <f t="shared" si="0"/>
        <v>1</v>
      </c>
    </row>
    <row r="16" spans="1:39" ht="12" customHeight="1">
      <c r="A16" s="41"/>
      <c r="B16" s="18"/>
      <c r="C16" s="42"/>
      <c r="D16" s="37"/>
      <c r="E16" s="18"/>
      <c r="F16" s="37"/>
      <c r="G16" s="37"/>
      <c r="H16" s="43"/>
      <c r="I16" s="43"/>
      <c r="J16" s="43"/>
      <c r="K16" s="43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43"/>
      <c r="Y16" s="43"/>
      <c r="Z16" s="43"/>
      <c r="AA16" s="43"/>
      <c r="AB16" s="37"/>
      <c r="AC16" s="37"/>
      <c r="AD16" s="37"/>
      <c r="AE16" s="37"/>
      <c r="AF16" s="37"/>
      <c r="AG16" s="37"/>
      <c r="AH16" s="37"/>
      <c r="AI16" s="37"/>
      <c r="AJ16" s="43"/>
      <c r="AK16" s="43"/>
      <c r="AL16" s="43"/>
      <c r="AM16" s="43"/>
    </row>
    <row r="17" spans="1:39" ht="12" customHeight="1">
      <c r="A17" s="41" t="s">
        <v>39</v>
      </c>
      <c r="B17" s="51" t="s">
        <v>40</v>
      </c>
      <c r="C17" s="42"/>
      <c r="D17" s="37"/>
      <c r="E17" s="37"/>
      <c r="F17" s="37"/>
      <c r="G17" s="37"/>
      <c r="H17" s="43"/>
      <c r="I17" s="43"/>
      <c r="J17" s="43"/>
      <c r="K17" s="43"/>
      <c r="L17" s="37"/>
      <c r="M17" s="43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43"/>
      <c r="Y17" s="43"/>
      <c r="Z17" s="43"/>
      <c r="AA17" s="43"/>
      <c r="AB17" s="37"/>
      <c r="AC17" s="37"/>
      <c r="AD17" s="37"/>
      <c r="AE17" s="37"/>
      <c r="AF17" s="37"/>
      <c r="AG17" s="37"/>
      <c r="AH17" s="37"/>
      <c r="AI17" s="37"/>
      <c r="AJ17" s="43"/>
      <c r="AK17" s="43"/>
      <c r="AL17" s="43"/>
      <c r="AM17" s="43"/>
    </row>
    <row r="18" spans="1:39" ht="12" customHeight="1">
      <c r="A18" s="41"/>
      <c r="B18" s="18"/>
      <c r="C18" s="42"/>
      <c r="D18" s="37"/>
      <c r="E18" s="18"/>
      <c r="F18" s="37"/>
      <c r="G18" s="37"/>
      <c r="H18" s="43"/>
      <c r="I18" s="43"/>
      <c r="J18" s="43"/>
      <c r="K18" s="43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43"/>
      <c r="Y18" s="43"/>
      <c r="Z18" s="43"/>
      <c r="AA18" s="43"/>
      <c r="AB18" s="37"/>
      <c r="AC18" s="37"/>
      <c r="AD18" s="37"/>
      <c r="AE18" s="37"/>
      <c r="AF18" s="37"/>
      <c r="AG18" s="37"/>
      <c r="AH18" s="37"/>
      <c r="AI18" s="37"/>
      <c r="AJ18" s="43"/>
      <c r="AK18" s="43"/>
      <c r="AL18" s="43"/>
      <c r="AM18" s="43"/>
    </row>
    <row r="19" spans="1:39" ht="12" customHeight="1" outlineLevel="1">
      <c r="A19" s="44" t="str">
        <f>'Inputs - Products'!A8</f>
        <v>Isotretinoin Monitoring App - Annual Provider Subscription</v>
      </c>
      <c r="B19" s="38">
        <f>'Inputs - Products'!B8</f>
        <v>24000</v>
      </c>
      <c r="C19" s="54"/>
      <c r="D19" s="55">
        <f>IF('Inputs - Products'!$B$22=0,D9*$B19,D9*$B19*(1+'Inputs - Products'!$B$22))</f>
        <v>0</v>
      </c>
      <c r="E19" s="55">
        <f>IF('Inputs - Products'!$B$22=0,E9*$B19,E9*$B19*(1+'Inputs - Products'!$B$22))</f>
        <v>0</v>
      </c>
      <c r="F19" s="55">
        <f>IF('Inputs - Products'!$B$22=0,F9*$B19,F9*$B19*(1+'Inputs - Products'!$B$22))</f>
        <v>0</v>
      </c>
      <c r="G19" s="55">
        <f>IF('Inputs - Products'!$B$22=0,G9*$B19,G9*$B19*(1+'Inputs - Products'!$B$22))</f>
        <v>0</v>
      </c>
      <c r="H19" s="55">
        <f>IF('Inputs - Products'!$B$22=0,H9*$B19,H9*$B19*(1+'Inputs - Products'!$B$22))</f>
        <v>0</v>
      </c>
      <c r="I19" s="55">
        <f>IF('Inputs - Products'!$B$22=0,I9*$B19,I9*$B19*(1+'Inputs - Products'!$B$22))</f>
        <v>0</v>
      </c>
      <c r="J19" s="55">
        <f>IF('Inputs - Products'!$B$22=0,J9*$B19,J9*$B19*(1+'Inputs - Products'!$B$22))</f>
        <v>24000</v>
      </c>
      <c r="K19" s="55">
        <f>IF('Inputs - Products'!$B$22=0,K9*$B19,K9*$B19*(1+'Inputs - Products'!$B$22))</f>
        <v>0</v>
      </c>
      <c r="L19" s="55">
        <f>IF('Inputs - Products'!$B$22=0,L9*$B19,L9*$B19*(1+'Inputs - Products'!$B$22))</f>
        <v>24000</v>
      </c>
      <c r="M19" s="55">
        <f>IF('Inputs - Products'!$B$22=0,M9*$B19,M9*$B19*(1+'Inputs - Products'!$B$22))</f>
        <v>0</v>
      </c>
      <c r="N19" s="55">
        <f>IF('Inputs - Products'!$B$22=0,N9*$B19,N9*$B19*(1+'Inputs - Products'!$B$22))</f>
        <v>24000</v>
      </c>
      <c r="O19" s="55">
        <f>IF('Inputs - Products'!$B$22=0,O9*$B19,O9*$B19*(1+'Inputs - Products'!$B$22))</f>
        <v>0</v>
      </c>
      <c r="P19" s="55">
        <f>IF('Inputs - Products'!$B$22=0,P9*$B19,P9*$B19*(1+'Inputs - Products'!$B$22))</f>
        <v>24000</v>
      </c>
      <c r="Q19" s="55">
        <f>IF('Inputs - Products'!$B$22=0,Q9*$B19,Q9*$B19*(1+'Inputs - Products'!$B$22))</f>
        <v>0</v>
      </c>
      <c r="R19" s="55">
        <f>IF('Inputs - Products'!$B$22=0,R9*$B19,R9*$B19*(1+'Inputs - Products'!$B$22))</f>
        <v>24000</v>
      </c>
      <c r="S19" s="55">
        <f>IF('Inputs - Products'!$B$22=0,S9*$B19,S9*$B19*(1+'Inputs - Products'!$B$22))</f>
        <v>0</v>
      </c>
      <c r="T19" s="55">
        <f>IF('Inputs - Products'!$B$22=0,T9*$B19,T9*$B19*(1+'Inputs - Products'!$B$22))</f>
        <v>24000</v>
      </c>
      <c r="U19" s="55">
        <f>IF('Inputs - Products'!$B$22=0,U9*$B19,U9*$B19*(1+'Inputs - Products'!$B$22))</f>
        <v>0</v>
      </c>
      <c r="V19" s="55">
        <f>IF('Inputs - Products'!$B$22=0,V9*$B19,V9*$B19*(1+'Inputs - Products'!$B$22))</f>
        <v>24000</v>
      </c>
      <c r="W19" s="55">
        <f>IF('Inputs - Products'!$B$22=0,W9*$B19,W9*$B19*(1+'Inputs - Products'!$B$22))</f>
        <v>0</v>
      </c>
      <c r="X19" s="55">
        <f>IF('Inputs - Products'!$B$22=0,X9*$B19,X9*$B19*(1+'Inputs - Products'!$B$22))</f>
        <v>24000</v>
      </c>
      <c r="Y19" s="55">
        <f>IF('Inputs - Products'!$B$22=0,Y9*$B19,Y9*$B19*(1+'Inputs - Products'!$B$22))</f>
        <v>0</v>
      </c>
      <c r="Z19" s="55">
        <f>IF('Inputs - Products'!$B$22=0,Z9*$B19,Z9*$B19*(1+'Inputs - Products'!$B$22))</f>
        <v>24000</v>
      </c>
      <c r="AA19" s="55">
        <f>IF('Inputs - Products'!$B$22=0,AA9*$B19,AA9*$B19*(1+'Inputs - Products'!$B$22))</f>
        <v>0</v>
      </c>
      <c r="AB19" s="55">
        <f>IF('Inputs - Products'!$B$22=0,AB9*$B19,AB9*$B19*(1+'Inputs - Products'!$B$22))</f>
        <v>24000</v>
      </c>
      <c r="AC19" s="55">
        <f>IF('Inputs - Products'!$B$22=0,AC9*$B19,AC9*$B19*(1+'Inputs - Products'!$B$22))</f>
        <v>48000</v>
      </c>
      <c r="AD19" s="55">
        <f>IF('Inputs - Products'!$B$22=0,AD9*$B19,AD9*$B19*(1+'Inputs - Products'!$B$22))</f>
        <v>24000</v>
      </c>
      <c r="AE19" s="55">
        <f>IF('Inputs - Products'!$B$22=0,AE9*$B19,AE9*$B19*(1+'Inputs - Products'!$B$22))</f>
        <v>48000</v>
      </c>
      <c r="AF19" s="55">
        <f>IF('Inputs - Products'!$B$22=0,AF9*$B19,AF9*$B19*(1+'Inputs - Products'!$B$22))</f>
        <v>24000</v>
      </c>
      <c r="AG19" s="55">
        <f>IF('Inputs - Products'!$B$22=0,AG9*$B19,AG9*$B19*(1+'Inputs - Products'!$B$22))</f>
        <v>24000</v>
      </c>
      <c r="AH19" s="55">
        <f>IF('Inputs - Products'!$B$22=0,AH9*$B19,AH9*$B19*(1+'Inputs - Products'!$B$22))</f>
        <v>24000</v>
      </c>
      <c r="AI19" s="55">
        <f>IF('Inputs - Products'!$B$22=0,AI9*$B19,AI9*$B19*(1+'Inputs - Products'!$B$22))</f>
        <v>48000</v>
      </c>
      <c r="AJ19" s="55">
        <f>IF('Inputs - Products'!$B$22=0,AJ9*$B19,AJ9*$B19*(1+'Inputs - Products'!$B$22))</f>
        <v>24000</v>
      </c>
      <c r="AK19" s="55">
        <f>IF('Inputs - Products'!$B$22=0,AK9*$B19,AK9*$B19*(1+'Inputs - Products'!$B$22))</f>
        <v>24000</v>
      </c>
      <c r="AL19" s="55">
        <f>IF('Inputs - Products'!$B$22=0,AL9*$B19,AL9*$B19*(1+'Inputs - Products'!$B$22))</f>
        <v>24000</v>
      </c>
      <c r="AM19" s="55">
        <f>IF('Inputs - Products'!$B$22=0,AM9*$B19,AM9*$B19*(1+'Inputs - Products'!$B$22))</f>
        <v>24000</v>
      </c>
    </row>
    <row r="20" spans="1:39" ht="12" customHeight="1" outlineLevel="1">
      <c r="A20" s="44" t="str">
        <f>'Inputs - Products'!A9</f>
        <v>Product 2</v>
      </c>
      <c r="B20" s="38">
        <f>'Inputs - Products'!B9</f>
        <v>0</v>
      </c>
      <c r="C20" s="54"/>
      <c r="D20" s="55">
        <f>IF('Inputs - Products'!$B$22=0,D10*$B20,D10*$B20*(1+'Inputs - Products'!$B$22))</f>
        <v>0</v>
      </c>
      <c r="E20" s="55">
        <f>IF('Inputs - Products'!$B$22=0,E10*$B20,E10*$B20*(1+'Inputs - Products'!$B$22))</f>
        <v>0</v>
      </c>
      <c r="F20" s="55">
        <f>IF('Inputs - Products'!$B$22=0,F10*$B20,F10*$B20*(1+'Inputs - Products'!$B$22))</f>
        <v>0</v>
      </c>
      <c r="G20" s="55">
        <f>IF('Inputs - Products'!$B$22=0,G10*$B20,G10*$B20*(1+'Inputs - Products'!$B$22))</f>
        <v>0</v>
      </c>
      <c r="H20" s="55">
        <f>IF('Inputs - Products'!$B$22=0,H10*$B20,H10*$B20*(1+'Inputs - Products'!$B$22))</f>
        <v>0</v>
      </c>
      <c r="I20" s="55">
        <f>IF('Inputs - Products'!$B$22=0,I10*$B20,I10*$B20*(1+'Inputs - Products'!$B$22))</f>
        <v>0</v>
      </c>
      <c r="J20" s="55">
        <f>IF('Inputs - Products'!$B$22=0,J10*$B20,J10*$B20*(1+'Inputs - Products'!$B$22))</f>
        <v>0</v>
      </c>
      <c r="K20" s="55">
        <f>IF('Inputs - Products'!$B$22=0,K10*$B20,K10*$B20*(1+'Inputs - Products'!$B$22))</f>
        <v>0</v>
      </c>
      <c r="L20" s="55">
        <f>IF('Inputs - Products'!$B$22=0,L10*$B20,L10*$B20*(1+'Inputs - Products'!$B$22))</f>
        <v>0</v>
      </c>
      <c r="M20" s="55">
        <f>IF('Inputs - Products'!$B$22=0,M10*$B20,M10*$B20*(1+'Inputs - Products'!$B$22))</f>
        <v>0</v>
      </c>
      <c r="N20" s="55">
        <f>IF('Inputs - Products'!$B$22=0,N10*$B20,N10*$B20*(1+'Inputs - Products'!$B$22))</f>
        <v>0</v>
      </c>
      <c r="O20" s="55">
        <f>IF('Inputs - Products'!$B$22=0,O10*$B20,O10*$B20*(1+'Inputs - Products'!$B$22))</f>
        <v>0</v>
      </c>
      <c r="P20" s="55">
        <f>IF('Inputs - Products'!$B$22=0,P10*$B20,P10*$B20*(1+'Inputs - Products'!$B$22))</f>
        <v>0</v>
      </c>
      <c r="Q20" s="55">
        <f>IF('Inputs - Products'!$B$22=0,Q10*$B20,Q10*$B20*(1+'Inputs - Products'!$B$22))</f>
        <v>0</v>
      </c>
      <c r="R20" s="55">
        <f>IF('Inputs - Products'!$B$22=0,R10*$B20,R10*$B20*(1+'Inputs - Products'!$B$22))</f>
        <v>0</v>
      </c>
      <c r="S20" s="55">
        <f>IF('Inputs - Products'!$B$22=0,S10*$B20,S10*$B20*(1+'Inputs - Products'!$B$22))</f>
        <v>0</v>
      </c>
      <c r="T20" s="55">
        <f>IF('Inputs - Products'!$B$22=0,T10*$B20,T10*$B20*(1+'Inputs - Products'!$B$22))</f>
        <v>0</v>
      </c>
      <c r="U20" s="55">
        <f>IF('Inputs - Products'!$B$22=0,U10*$B20,U10*$B20*(1+'Inputs - Products'!$B$22))</f>
        <v>0</v>
      </c>
      <c r="V20" s="55">
        <f>IF('Inputs - Products'!$B$22=0,V10*$B20,V10*$B20*(1+'Inputs - Products'!$B$22))</f>
        <v>0</v>
      </c>
      <c r="W20" s="55">
        <f>IF('Inputs - Products'!$B$22=0,W10*$B20,W10*$B20*(1+'Inputs - Products'!$B$22))</f>
        <v>0</v>
      </c>
      <c r="X20" s="55">
        <f>IF('Inputs - Products'!$B$22=0,X10*$B20,X10*$B20*(1+'Inputs - Products'!$B$22))</f>
        <v>0</v>
      </c>
      <c r="Y20" s="55">
        <f>IF('Inputs - Products'!$B$22=0,Y10*$B20,Y10*$B20*(1+'Inputs - Products'!$B$22))</f>
        <v>0</v>
      </c>
      <c r="Z20" s="55">
        <f>IF('Inputs - Products'!$B$22=0,Z10*$B20,Z10*$B20*(1+'Inputs - Products'!$B$22))</f>
        <v>0</v>
      </c>
      <c r="AA20" s="55">
        <f>IF('Inputs - Products'!$B$22=0,AA10*$B20,AA10*$B20*(1+'Inputs - Products'!$B$22))</f>
        <v>0</v>
      </c>
      <c r="AB20" s="55">
        <f>IF('Inputs - Products'!$B$22=0,AB10*$B20,AB10*$B20*(1+'Inputs - Products'!$B$22))</f>
        <v>0</v>
      </c>
      <c r="AC20" s="55">
        <f>IF('Inputs - Products'!$B$22=0,AC10*$B20,AC10*$B20*(1+'Inputs - Products'!$B$22))</f>
        <v>0</v>
      </c>
      <c r="AD20" s="55">
        <f>IF('Inputs - Products'!$B$22=0,AD10*$B20,AD10*$B20*(1+'Inputs - Products'!$B$22))</f>
        <v>0</v>
      </c>
      <c r="AE20" s="55">
        <f>IF('Inputs - Products'!$B$22=0,AE10*$B20,AE10*$B20*(1+'Inputs - Products'!$B$22))</f>
        <v>0</v>
      </c>
      <c r="AF20" s="55">
        <f>IF('Inputs - Products'!$B$22=0,AF10*$B20,AF10*$B20*(1+'Inputs - Products'!$B$22))</f>
        <v>0</v>
      </c>
      <c r="AG20" s="55">
        <f>IF('Inputs - Products'!$B$22=0,AG10*$B20,AG10*$B20*(1+'Inputs - Products'!$B$22))</f>
        <v>0</v>
      </c>
      <c r="AH20" s="55">
        <f>IF('Inputs - Products'!$B$22=0,AH10*$B20,AH10*$B20*(1+'Inputs - Products'!$B$22))</f>
        <v>0</v>
      </c>
      <c r="AI20" s="55">
        <f>IF('Inputs - Products'!$B$22=0,AI10*$B20,AI10*$B20*(1+'Inputs - Products'!$B$22))</f>
        <v>0</v>
      </c>
      <c r="AJ20" s="55">
        <f>IF('Inputs - Products'!$B$22=0,AJ10*$B20,AJ10*$B20*(1+'Inputs - Products'!$B$22))</f>
        <v>0</v>
      </c>
      <c r="AK20" s="55">
        <f>IF('Inputs - Products'!$B$22=0,AK10*$B20,AK10*$B20*(1+'Inputs - Products'!$B$22))</f>
        <v>0</v>
      </c>
      <c r="AL20" s="55">
        <f>IF('Inputs - Products'!$B$22=0,AL10*$B20,AL10*$B20*(1+'Inputs - Products'!$B$22))</f>
        <v>0</v>
      </c>
      <c r="AM20" s="55">
        <f>IF('Inputs - Products'!$B$22=0,AM10*$B20,AM10*$B20*(1+'Inputs - Products'!$B$22))</f>
        <v>0</v>
      </c>
    </row>
    <row r="21" spans="1:39" ht="12" customHeight="1" outlineLevel="1">
      <c r="A21" s="44" t="str">
        <f>'Inputs - Products'!A10</f>
        <v>Product 3</v>
      </c>
      <c r="B21" s="38">
        <f>'Inputs - Products'!B10</f>
        <v>0</v>
      </c>
      <c r="C21" s="54"/>
      <c r="D21" s="55">
        <f>IF('Inputs - Products'!$B$22=0,D11*$B21,D11*$B21*(1+'Inputs - Products'!$B$22))</f>
        <v>0</v>
      </c>
      <c r="E21" s="55">
        <f>IF('Inputs - Products'!$B$22=0,E11*$B21,E11*$B21*(1+'Inputs - Products'!$B$22))</f>
        <v>0</v>
      </c>
      <c r="F21" s="55">
        <f>IF('Inputs - Products'!$B$22=0,F11*$B21,F11*$B21*(1+'Inputs - Products'!$B$22))</f>
        <v>0</v>
      </c>
      <c r="G21" s="55">
        <f>IF('Inputs - Products'!$B$22=0,G11*$B21,G11*$B21*(1+'Inputs - Products'!$B$22))</f>
        <v>0</v>
      </c>
      <c r="H21" s="55">
        <f>IF('Inputs - Products'!$B$22=0,H11*$B21,H11*$B21*(1+'Inputs - Products'!$B$22))</f>
        <v>0</v>
      </c>
      <c r="I21" s="55">
        <f>IF('Inputs - Products'!$B$22=0,I11*$B21,I11*$B21*(1+'Inputs - Products'!$B$22))</f>
        <v>0</v>
      </c>
      <c r="J21" s="55">
        <f>IF('Inputs - Products'!$B$22=0,J11*$B21,J11*$B21*(1+'Inputs - Products'!$B$22))</f>
        <v>0</v>
      </c>
      <c r="K21" s="55">
        <f>IF('Inputs - Products'!$B$22=0,K11*$B21,K11*$B21*(1+'Inputs - Products'!$B$22))</f>
        <v>0</v>
      </c>
      <c r="L21" s="55">
        <f>IF('Inputs - Products'!$B$22=0,L11*$B21,L11*$B21*(1+'Inputs - Products'!$B$22))</f>
        <v>0</v>
      </c>
      <c r="M21" s="55">
        <f>IF('Inputs - Products'!$B$22=0,M11*$B21,M11*$B21*(1+'Inputs - Products'!$B$22))</f>
        <v>0</v>
      </c>
      <c r="N21" s="55">
        <f>IF('Inputs - Products'!$B$22=0,N11*$B21,N11*$B21*(1+'Inputs - Products'!$B$22))</f>
        <v>0</v>
      </c>
      <c r="O21" s="55">
        <f>IF('Inputs - Products'!$B$22=0,O11*$B21,O11*$B21*(1+'Inputs - Products'!$B$22))</f>
        <v>0</v>
      </c>
      <c r="P21" s="55">
        <f>IF('Inputs - Products'!$B$22=0,P11*$B21,P11*$B21*(1+'Inputs - Products'!$B$22))</f>
        <v>0</v>
      </c>
      <c r="Q21" s="55">
        <f>IF('Inputs - Products'!$B$22=0,Q11*$B21,Q11*$B21*(1+'Inputs - Products'!$B$22))</f>
        <v>0</v>
      </c>
      <c r="R21" s="55">
        <f>IF('Inputs - Products'!$B$22=0,R11*$B21,R11*$B21*(1+'Inputs - Products'!$B$22))</f>
        <v>0</v>
      </c>
      <c r="S21" s="55">
        <f>IF('Inputs - Products'!$B$22=0,S11*$B21,S11*$B21*(1+'Inputs - Products'!$B$22))</f>
        <v>0</v>
      </c>
      <c r="T21" s="55">
        <f>IF('Inputs - Products'!$B$22=0,T11*$B21,T11*$B21*(1+'Inputs - Products'!$B$22))</f>
        <v>0</v>
      </c>
      <c r="U21" s="55">
        <f>IF('Inputs - Products'!$B$22=0,U11*$B21,U11*$B21*(1+'Inputs - Products'!$B$22))</f>
        <v>0</v>
      </c>
      <c r="V21" s="55">
        <f>IF('Inputs - Products'!$B$22=0,V11*$B21,V11*$B21*(1+'Inputs - Products'!$B$22))</f>
        <v>0</v>
      </c>
      <c r="W21" s="55">
        <f>IF('Inputs - Products'!$B$22=0,W11*$B21,W11*$B21*(1+'Inputs - Products'!$B$22))</f>
        <v>0</v>
      </c>
      <c r="X21" s="55">
        <f>IF('Inputs - Products'!$B$22=0,X11*$B21,X11*$B21*(1+'Inputs - Products'!$B$22))</f>
        <v>0</v>
      </c>
      <c r="Y21" s="55">
        <f>IF('Inputs - Products'!$B$22=0,Y11*$B21,Y11*$B21*(1+'Inputs - Products'!$B$22))</f>
        <v>0</v>
      </c>
      <c r="Z21" s="55">
        <f>IF('Inputs - Products'!$B$22=0,Z11*$B21,Z11*$B21*(1+'Inputs - Products'!$B$22))</f>
        <v>0</v>
      </c>
      <c r="AA21" s="55">
        <f>IF('Inputs - Products'!$B$22=0,AA11*$B21,AA11*$B21*(1+'Inputs - Products'!$B$22))</f>
        <v>0</v>
      </c>
      <c r="AB21" s="55">
        <f>IF('Inputs - Products'!$B$22=0,AB11*$B21,AB11*$B21*(1+'Inputs - Products'!$B$22))</f>
        <v>0</v>
      </c>
      <c r="AC21" s="55">
        <f>IF('Inputs - Products'!$B$22=0,AC11*$B21,AC11*$B21*(1+'Inputs - Products'!$B$22))</f>
        <v>0</v>
      </c>
      <c r="AD21" s="55">
        <f>IF('Inputs - Products'!$B$22=0,AD11*$B21,AD11*$B21*(1+'Inputs - Products'!$B$22))</f>
        <v>0</v>
      </c>
      <c r="AE21" s="55">
        <f>IF('Inputs - Products'!$B$22=0,AE11*$B21,AE11*$B21*(1+'Inputs - Products'!$B$22))</f>
        <v>0</v>
      </c>
      <c r="AF21" s="55">
        <f>IF('Inputs - Products'!$B$22=0,AF11*$B21,AF11*$B21*(1+'Inputs - Products'!$B$22))</f>
        <v>0</v>
      </c>
      <c r="AG21" s="55">
        <f>IF('Inputs - Products'!$B$22=0,AG11*$B21,AG11*$B21*(1+'Inputs - Products'!$B$22))</f>
        <v>0</v>
      </c>
      <c r="AH21" s="55">
        <f>IF('Inputs - Products'!$B$22=0,AH11*$B21,AH11*$B21*(1+'Inputs - Products'!$B$22))</f>
        <v>0</v>
      </c>
      <c r="AI21" s="55">
        <f>IF('Inputs - Products'!$B$22=0,AI11*$B21,AI11*$B21*(1+'Inputs - Products'!$B$22))</f>
        <v>0</v>
      </c>
      <c r="AJ21" s="55">
        <f>IF('Inputs - Products'!$B$22=0,AJ11*$B21,AJ11*$B21*(1+'Inputs - Products'!$B$22))</f>
        <v>0</v>
      </c>
      <c r="AK21" s="55">
        <f>IF('Inputs - Products'!$B$22=0,AK11*$B21,AK11*$B21*(1+'Inputs - Products'!$B$22))</f>
        <v>0</v>
      </c>
      <c r="AL21" s="55">
        <f>IF('Inputs - Products'!$B$22=0,AL11*$B21,AL11*$B21*(1+'Inputs - Products'!$B$22))</f>
        <v>0</v>
      </c>
      <c r="AM21" s="55">
        <f>IF('Inputs - Products'!$B$22=0,AM11*$B21,AM11*$B21*(1+'Inputs - Products'!$B$22))</f>
        <v>0</v>
      </c>
    </row>
    <row r="22" spans="1:39" ht="12" customHeight="1" outlineLevel="1">
      <c r="A22" s="44" t="str">
        <f>'Inputs - Products'!A11</f>
        <v>Product 4</v>
      </c>
      <c r="B22" s="38">
        <f>'Inputs - Products'!B11</f>
        <v>0</v>
      </c>
      <c r="C22" s="54"/>
      <c r="D22" s="55">
        <f>IF('Inputs - Products'!$B$22=0,D12*$B22,D12*$B22*(1+'Inputs - Products'!$B$22))</f>
        <v>0</v>
      </c>
      <c r="E22" s="55">
        <f>IF('Inputs - Products'!$B$22=0,E12*$B22,E12*$B22*(1+'Inputs - Products'!$B$22))</f>
        <v>0</v>
      </c>
      <c r="F22" s="55">
        <f>IF('Inputs - Products'!$B$22=0,F12*$B22,F12*$B22*(1+'Inputs - Products'!$B$22))</f>
        <v>0</v>
      </c>
      <c r="G22" s="55">
        <f>IF('Inputs - Products'!$B$22=0,G12*$B22,G12*$B22*(1+'Inputs - Products'!$B$22))</f>
        <v>0</v>
      </c>
      <c r="H22" s="55">
        <f>IF('Inputs - Products'!$B$22=0,H12*$B22,H12*$B22*(1+'Inputs - Products'!$B$22))</f>
        <v>0</v>
      </c>
      <c r="I22" s="55">
        <f>IF('Inputs - Products'!$B$22=0,I12*$B22,I12*$B22*(1+'Inputs - Products'!$B$22))</f>
        <v>0</v>
      </c>
      <c r="J22" s="55">
        <f>IF('Inputs - Products'!$B$22=0,J12*$B22,J12*$B22*(1+'Inputs - Products'!$B$22))</f>
        <v>0</v>
      </c>
      <c r="K22" s="55">
        <f>IF('Inputs - Products'!$B$22=0,K12*$B22,K12*$B22*(1+'Inputs - Products'!$B$22))</f>
        <v>0</v>
      </c>
      <c r="L22" s="55">
        <f>IF('Inputs - Products'!$B$22=0,L12*$B22,L12*$B22*(1+'Inputs - Products'!$B$22))</f>
        <v>0</v>
      </c>
      <c r="M22" s="55">
        <f>IF('Inputs - Products'!$B$22=0,M12*$B22,M12*$B22*(1+'Inputs - Products'!$B$22))</f>
        <v>0</v>
      </c>
      <c r="N22" s="55">
        <f>IF('Inputs - Products'!$B$22=0,N12*$B22,N12*$B22*(1+'Inputs - Products'!$B$22))</f>
        <v>0</v>
      </c>
      <c r="O22" s="55">
        <f>IF('Inputs - Products'!$B$22=0,O12*$B22,O12*$B22*(1+'Inputs - Products'!$B$22))</f>
        <v>0</v>
      </c>
      <c r="P22" s="55">
        <f>IF('Inputs - Products'!$B$22=0,P12*$B22,P12*$B22*(1+'Inputs - Products'!$B$22))</f>
        <v>0</v>
      </c>
      <c r="Q22" s="55">
        <f>IF('Inputs - Products'!$B$22=0,Q12*$B22,Q12*$B22*(1+'Inputs - Products'!$B$22))</f>
        <v>0</v>
      </c>
      <c r="R22" s="55">
        <f>IF('Inputs - Products'!$B$22=0,R12*$B22,R12*$B22*(1+'Inputs - Products'!$B$22))</f>
        <v>0</v>
      </c>
      <c r="S22" s="55">
        <f>IF('Inputs - Products'!$B$22=0,S12*$B22,S12*$B22*(1+'Inputs - Products'!$B$22))</f>
        <v>0</v>
      </c>
      <c r="T22" s="55">
        <f>IF('Inputs - Products'!$B$22=0,T12*$B22,T12*$B22*(1+'Inputs - Products'!$B$22))</f>
        <v>0</v>
      </c>
      <c r="U22" s="55">
        <f>IF('Inputs - Products'!$B$22=0,U12*$B22,U12*$B22*(1+'Inputs - Products'!$B$22))</f>
        <v>0</v>
      </c>
      <c r="V22" s="55">
        <f>IF('Inputs - Products'!$B$22=0,V12*$B22,V12*$B22*(1+'Inputs - Products'!$B$22))</f>
        <v>0</v>
      </c>
      <c r="W22" s="55">
        <f>IF('Inputs - Products'!$B$22=0,W12*$B22,W12*$B22*(1+'Inputs - Products'!$B$22))</f>
        <v>0</v>
      </c>
      <c r="X22" s="55">
        <f>IF('Inputs - Products'!$B$22=0,X12*$B22,X12*$B22*(1+'Inputs - Products'!$B$22))</f>
        <v>0</v>
      </c>
      <c r="Y22" s="55">
        <f>IF('Inputs - Products'!$B$22=0,Y12*$B22,Y12*$B22*(1+'Inputs - Products'!$B$22))</f>
        <v>0</v>
      </c>
      <c r="Z22" s="55">
        <f>IF('Inputs - Products'!$B$22=0,Z12*$B22,Z12*$B22*(1+'Inputs - Products'!$B$22))</f>
        <v>0</v>
      </c>
      <c r="AA22" s="55">
        <f>IF('Inputs - Products'!$B$22=0,AA12*$B22,AA12*$B22*(1+'Inputs - Products'!$B$22))</f>
        <v>0</v>
      </c>
      <c r="AB22" s="55">
        <f>IF('Inputs - Products'!$B$22=0,AB12*$B22,AB12*$B22*(1+'Inputs - Products'!$B$22))</f>
        <v>0</v>
      </c>
      <c r="AC22" s="55">
        <f>IF('Inputs - Products'!$B$22=0,AC12*$B22,AC12*$B22*(1+'Inputs - Products'!$B$22))</f>
        <v>0</v>
      </c>
      <c r="AD22" s="55">
        <f>IF('Inputs - Products'!$B$22=0,AD12*$B22,AD12*$B22*(1+'Inputs - Products'!$B$22))</f>
        <v>0</v>
      </c>
      <c r="AE22" s="55">
        <f>IF('Inputs - Products'!$B$22=0,AE12*$B22,AE12*$B22*(1+'Inputs - Products'!$B$22))</f>
        <v>0</v>
      </c>
      <c r="AF22" s="55">
        <f>IF('Inputs - Products'!$B$22=0,AF12*$B22,AF12*$B22*(1+'Inputs - Products'!$B$22))</f>
        <v>0</v>
      </c>
      <c r="AG22" s="55">
        <f>IF('Inputs - Products'!$B$22=0,AG12*$B22,AG12*$B22*(1+'Inputs - Products'!$B$22))</f>
        <v>0</v>
      </c>
      <c r="AH22" s="55">
        <f>IF('Inputs - Products'!$B$22=0,AH12*$B22,AH12*$B22*(1+'Inputs - Products'!$B$22))</f>
        <v>0</v>
      </c>
      <c r="AI22" s="55">
        <f>IF('Inputs - Products'!$B$22=0,AI12*$B22,AI12*$B22*(1+'Inputs - Products'!$B$22))</f>
        <v>0</v>
      </c>
      <c r="AJ22" s="55">
        <f>IF('Inputs - Products'!$B$22=0,AJ12*$B22,AJ12*$B22*(1+'Inputs - Products'!$B$22))</f>
        <v>0</v>
      </c>
      <c r="AK22" s="55">
        <f>IF('Inputs - Products'!$B$22=0,AK12*$B22,AK12*$B22*(1+'Inputs - Products'!$B$22))</f>
        <v>0</v>
      </c>
      <c r="AL22" s="55">
        <f>IF('Inputs - Products'!$B$22=0,AL12*$B22,AL12*$B22*(1+'Inputs - Products'!$B$22))</f>
        <v>0</v>
      </c>
      <c r="AM22" s="55">
        <f>IF('Inputs - Products'!$B$22=0,AM12*$B22,AM12*$B22*(1+'Inputs - Products'!$B$22))</f>
        <v>0</v>
      </c>
    </row>
    <row r="23" spans="1:39" ht="12" customHeight="1" outlineLevel="1">
      <c r="A23" s="44" t="str">
        <f>'Inputs - Products'!A12</f>
        <v>Product 5</v>
      </c>
      <c r="B23" s="38">
        <f>'Inputs - Products'!B12</f>
        <v>0</v>
      </c>
      <c r="C23" s="54"/>
      <c r="D23" s="55">
        <f>IF('Inputs - Products'!$B$22=0,D13*$B23,D13*$B23*(1+'Inputs - Products'!$B$22))</f>
        <v>0</v>
      </c>
      <c r="E23" s="55">
        <f>IF('Inputs - Products'!$B$22=0,E13*$B23,E13*$B23*(1+'Inputs - Products'!$B$22))</f>
        <v>0</v>
      </c>
      <c r="F23" s="55">
        <f>IF('Inputs - Products'!$B$22=0,F13*$B23,F13*$B23*(1+'Inputs - Products'!$B$22))</f>
        <v>0</v>
      </c>
      <c r="G23" s="55">
        <f>IF('Inputs - Products'!$B$22=0,G13*$B23,G13*$B23*(1+'Inputs - Products'!$B$22))</f>
        <v>0</v>
      </c>
      <c r="H23" s="55">
        <f>IF('Inputs - Products'!$B$22=0,H13*$B23,H13*$B23*(1+'Inputs - Products'!$B$22))</f>
        <v>0</v>
      </c>
      <c r="I23" s="55">
        <f>IF('Inputs - Products'!$B$22=0,I13*$B23,I13*$B23*(1+'Inputs - Products'!$B$22))</f>
        <v>0</v>
      </c>
      <c r="J23" s="55">
        <f>IF('Inputs - Products'!$B$22=0,J13*$B23,J13*$B23*(1+'Inputs - Products'!$B$22))</f>
        <v>0</v>
      </c>
      <c r="K23" s="55">
        <f>IF('Inputs - Products'!$B$22=0,K13*$B23,K13*$B23*(1+'Inputs - Products'!$B$22))</f>
        <v>0</v>
      </c>
      <c r="L23" s="55">
        <f>IF('Inputs - Products'!$B$22=0,L13*$B23,L13*$B23*(1+'Inputs - Products'!$B$22))</f>
        <v>0</v>
      </c>
      <c r="M23" s="55">
        <f>IF('Inputs - Products'!$B$22=0,M13*$B23,M13*$B23*(1+'Inputs - Products'!$B$22))</f>
        <v>0</v>
      </c>
      <c r="N23" s="55">
        <f>IF('Inputs - Products'!$B$22=0,N13*$B23,N13*$B23*(1+'Inputs - Products'!$B$22))</f>
        <v>0</v>
      </c>
      <c r="O23" s="55">
        <f>IF('Inputs - Products'!$B$22=0,O13*$B23,O13*$B23*(1+'Inputs - Products'!$B$22))</f>
        <v>0</v>
      </c>
      <c r="P23" s="55">
        <f>IF('Inputs - Products'!$B$22=0,P13*$B23,P13*$B23*(1+'Inputs - Products'!$B$22))</f>
        <v>0</v>
      </c>
      <c r="Q23" s="55">
        <f>IF('Inputs - Products'!$B$22=0,Q13*$B23,Q13*$B23*(1+'Inputs - Products'!$B$22))</f>
        <v>0</v>
      </c>
      <c r="R23" s="55">
        <f>IF('Inputs - Products'!$B$22=0,R13*$B23,R13*$B23*(1+'Inputs - Products'!$B$22))</f>
        <v>0</v>
      </c>
      <c r="S23" s="55">
        <f>IF('Inputs - Products'!$B$22=0,S13*$B23,S13*$B23*(1+'Inputs - Products'!$B$22))</f>
        <v>0</v>
      </c>
      <c r="T23" s="55">
        <f>IF('Inputs - Products'!$B$22=0,T13*$B23,T13*$B23*(1+'Inputs - Products'!$B$22))</f>
        <v>0</v>
      </c>
      <c r="U23" s="55">
        <f>IF('Inputs - Products'!$B$22=0,U13*$B23,U13*$B23*(1+'Inputs - Products'!$B$22))</f>
        <v>0</v>
      </c>
      <c r="V23" s="55">
        <f>IF('Inputs - Products'!$B$22=0,V13*$B23,V13*$B23*(1+'Inputs - Products'!$B$22))</f>
        <v>0</v>
      </c>
      <c r="W23" s="55">
        <f>IF('Inputs - Products'!$B$22=0,W13*$B23,W13*$B23*(1+'Inputs - Products'!$B$22))</f>
        <v>0</v>
      </c>
      <c r="X23" s="55">
        <f>IF('Inputs - Products'!$B$22=0,X13*$B23,X13*$B23*(1+'Inputs - Products'!$B$22))</f>
        <v>0</v>
      </c>
      <c r="Y23" s="55">
        <f>IF('Inputs - Products'!$B$22=0,Y13*$B23,Y13*$B23*(1+'Inputs - Products'!$B$22))</f>
        <v>0</v>
      </c>
      <c r="Z23" s="55">
        <f>IF('Inputs - Products'!$B$22=0,Z13*$B23,Z13*$B23*(1+'Inputs - Products'!$B$22))</f>
        <v>0</v>
      </c>
      <c r="AA23" s="55">
        <f>IF('Inputs - Products'!$B$22=0,AA13*$B23,AA13*$B23*(1+'Inputs - Products'!$B$22))</f>
        <v>0</v>
      </c>
      <c r="AB23" s="55">
        <f>IF('Inputs - Products'!$B$22=0,AB13*$B23,AB13*$B23*(1+'Inputs - Products'!$B$22))</f>
        <v>0</v>
      </c>
      <c r="AC23" s="55">
        <f>IF('Inputs - Products'!$B$22=0,AC13*$B23,AC13*$B23*(1+'Inputs - Products'!$B$22))</f>
        <v>0</v>
      </c>
      <c r="AD23" s="55">
        <f>IF('Inputs - Products'!$B$22=0,AD13*$B23,AD13*$B23*(1+'Inputs - Products'!$B$22))</f>
        <v>0</v>
      </c>
      <c r="AE23" s="55">
        <f>IF('Inputs - Products'!$B$22=0,AE13*$B23,AE13*$B23*(1+'Inputs - Products'!$B$22))</f>
        <v>0</v>
      </c>
      <c r="AF23" s="55">
        <f>IF('Inputs - Products'!$B$22=0,AF13*$B23,AF13*$B23*(1+'Inputs - Products'!$B$22))</f>
        <v>0</v>
      </c>
      <c r="AG23" s="55">
        <f>IF('Inputs - Products'!$B$22=0,AG13*$B23,AG13*$B23*(1+'Inputs - Products'!$B$22))</f>
        <v>0</v>
      </c>
      <c r="AH23" s="55">
        <f>IF('Inputs - Products'!$B$22=0,AH13*$B23,AH13*$B23*(1+'Inputs - Products'!$B$22))</f>
        <v>0</v>
      </c>
      <c r="AI23" s="55">
        <f>IF('Inputs - Products'!$B$22=0,AI13*$B23,AI13*$B23*(1+'Inputs - Products'!$B$22))</f>
        <v>0</v>
      </c>
      <c r="AJ23" s="55">
        <f>IF('Inputs - Products'!$B$22=0,AJ13*$B23,AJ13*$B23*(1+'Inputs - Products'!$B$22))</f>
        <v>0</v>
      </c>
      <c r="AK23" s="55">
        <f>IF('Inputs - Products'!$B$22=0,AK13*$B23,AK13*$B23*(1+'Inputs - Products'!$B$22))</f>
        <v>0</v>
      </c>
      <c r="AL23" s="55">
        <f>IF('Inputs - Products'!$B$22=0,AL13*$B23,AL13*$B23*(1+'Inputs - Products'!$B$22))</f>
        <v>0</v>
      </c>
      <c r="AM23" s="55">
        <f>IF('Inputs - Products'!$B$22=0,AM13*$B23,AM13*$B23*(1+'Inputs - Products'!$B$22))</f>
        <v>0</v>
      </c>
    </row>
    <row r="24" spans="1:39" ht="12" customHeight="1" outlineLevel="1">
      <c r="A24" s="44" t="str">
        <f>'Inputs - Products'!A13</f>
        <v>Product 6</v>
      </c>
      <c r="B24" s="38">
        <f>'Inputs - Products'!B13</f>
        <v>0</v>
      </c>
      <c r="C24" s="54"/>
      <c r="D24" s="55">
        <f>IF('Inputs - Products'!$B$22=0,D14*$B24,D14*$B24*(1+'Inputs - Products'!$B$22))</f>
        <v>0</v>
      </c>
      <c r="E24" s="55">
        <f>IF('Inputs - Products'!$B$22=0,E14*$B24,E14*$B24*(1+'Inputs - Products'!$B$22))</f>
        <v>0</v>
      </c>
      <c r="F24" s="55">
        <f>IF('Inputs - Products'!$B$22=0,F14*$B24,F14*$B24*(1+'Inputs - Products'!$B$22))</f>
        <v>0</v>
      </c>
      <c r="G24" s="55">
        <f>IF('Inputs - Products'!$B$22=0,G14*$B24,G14*$B24*(1+'Inputs - Products'!$B$22))</f>
        <v>0</v>
      </c>
      <c r="H24" s="55">
        <f>IF('Inputs - Products'!$B$22=0,H14*$B24,H14*$B24*(1+'Inputs - Products'!$B$22))</f>
        <v>0</v>
      </c>
      <c r="I24" s="55">
        <f>IF('Inputs - Products'!$B$22=0,I14*$B24,I14*$B24*(1+'Inputs - Products'!$B$22))</f>
        <v>0</v>
      </c>
      <c r="J24" s="55">
        <f>IF('Inputs - Products'!$B$22=0,J14*$B24,J14*$B24*(1+'Inputs - Products'!$B$22))</f>
        <v>0</v>
      </c>
      <c r="K24" s="55">
        <f>IF('Inputs - Products'!$B$22=0,K14*$B24,K14*$B24*(1+'Inputs - Products'!$B$22))</f>
        <v>0</v>
      </c>
      <c r="L24" s="55">
        <f>IF('Inputs - Products'!$B$22=0,L14*$B24,L14*$B24*(1+'Inputs - Products'!$B$22))</f>
        <v>0</v>
      </c>
      <c r="M24" s="55">
        <f>IF('Inputs - Products'!$B$22=0,M14*$B24,M14*$B24*(1+'Inputs - Products'!$B$22))</f>
        <v>0</v>
      </c>
      <c r="N24" s="55">
        <f>IF('Inputs - Products'!$B$22=0,N14*$B24,N14*$B24*(1+'Inputs - Products'!$B$22))</f>
        <v>0</v>
      </c>
      <c r="O24" s="55">
        <f>IF('Inputs - Products'!$B$22=0,O14*$B24,O14*$B24*(1+'Inputs - Products'!$B$22))</f>
        <v>0</v>
      </c>
      <c r="P24" s="55">
        <f>IF('Inputs - Products'!$B$22=0,P14*$B24,P14*$B24*(1+'Inputs - Products'!$B$22))</f>
        <v>0</v>
      </c>
      <c r="Q24" s="55">
        <f>IF('Inputs - Products'!$B$22=0,Q14*$B24,Q14*$B24*(1+'Inputs - Products'!$B$22))</f>
        <v>0</v>
      </c>
      <c r="R24" s="55">
        <f>IF('Inputs - Products'!$B$22=0,R14*$B24,R14*$B24*(1+'Inputs - Products'!$B$22))</f>
        <v>0</v>
      </c>
      <c r="S24" s="55">
        <f>IF('Inputs - Products'!$B$22=0,S14*$B24,S14*$B24*(1+'Inputs - Products'!$B$22))</f>
        <v>0</v>
      </c>
      <c r="T24" s="55">
        <f>IF('Inputs - Products'!$B$22=0,T14*$B24,T14*$B24*(1+'Inputs - Products'!$B$22))</f>
        <v>0</v>
      </c>
      <c r="U24" s="55">
        <f>IF('Inputs - Products'!$B$22=0,U14*$B24,U14*$B24*(1+'Inputs - Products'!$B$22))</f>
        <v>0</v>
      </c>
      <c r="V24" s="55">
        <f>IF('Inputs - Products'!$B$22=0,V14*$B24,V14*$B24*(1+'Inputs - Products'!$B$22))</f>
        <v>0</v>
      </c>
      <c r="W24" s="55">
        <f>IF('Inputs - Products'!$B$22=0,W14*$B24,W14*$B24*(1+'Inputs - Products'!$B$22))</f>
        <v>0</v>
      </c>
      <c r="X24" s="55">
        <f>IF('Inputs - Products'!$B$22=0,X14*$B24,X14*$B24*(1+'Inputs - Products'!$B$22))</f>
        <v>0</v>
      </c>
      <c r="Y24" s="55">
        <f>IF('Inputs - Products'!$B$22=0,Y14*$B24,Y14*$B24*(1+'Inputs - Products'!$B$22))</f>
        <v>0</v>
      </c>
      <c r="Z24" s="55">
        <f>IF('Inputs - Products'!$B$22=0,Z14*$B24,Z14*$B24*(1+'Inputs - Products'!$B$22))</f>
        <v>0</v>
      </c>
      <c r="AA24" s="55">
        <f>IF('Inputs - Products'!$B$22=0,AA14*$B24,AA14*$B24*(1+'Inputs - Products'!$B$22))</f>
        <v>0</v>
      </c>
      <c r="AB24" s="55">
        <f>IF('Inputs - Products'!$B$22=0,AB14*$B24,AB14*$B24*(1+'Inputs - Products'!$B$22))</f>
        <v>0</v>
      </c>
      <c r="AC24" s="55">
        <f>IF('Inputs - Products'!$B$22=0,AC14*$B24,AC14*$B24*(1+'Inputs - Products'!$B$22))</f>
        <v>0</v>
      </c>
      <c r="AD24" s="55">
        <f>IF('Inputs - Products'!$B$22=0,AD14*$B24,AD14*$B24*(1+'Inputs - Products'!$B$22))</f>
        <v>0</v>
      </c>
      <c r="AE24" s="55">
        <f>IF('Inputs - Products'!$B$22=0,AE14*$B24,AE14*$B24*(1+'Inputs - Products'!$B$22))</f>
        <v>0</v>
      </c>
      <c r="AF24" s="55">
        <f>IF('Inputs - Products'!$B$22=0,AF14*$B24,AF14*$B24*(1+'Inputs - Products'!$B$22))</f>
        <v>0</v>
      </c>
      <c r="AG24" s="55">
        <f>IF('Inputs - Products'!$B$22=0,AG14*$B24,AG14*$B24*(1+'Inputs - Products'!$B$22))</f>
        <v>0</v>
      </c>
      <c r="AH24" s="55">
        <f>IF('Inputs - Products'!$B$22=0,AH14*$B24,AH14*$B24*(1+'Inputs - Products'!$B$22))</f>
        <v>0</v>
      </c>
      <c r="AI24" s="55">
        <f>IF('Inputs - Products'!$B$22=0,AI14*$B24,AI14*$B24*(1+'Inputs - Products'!$B$22))</f>
        <v>0</v>
      </c>
      <c r="AJ24" s="55">
        <f>IF('Inputs - Products'!$B$22=0,AJ14*$B24,AJ14*$B24*(1+'Inputs - Products'!$B$22))</f>
        <v>0</v>
      </c>
      <c r="AK24" s="55">
        <f>IF('Inputs - Products'!$B$22=0,AK14*$B24,AK14*$B24*(1+'Inputs - Products'!$B$22))</f>
        <v>0</v>
      </c>
      <c r="AL24" s="55">
        <f>IF('Inputs - Products'!$B$22=0,AL14*$B24,AL14*$B24*(1+'Inputs - Products'!$B$22))</f>
        <v>0</v>
      </c>
      <c r="AM24" s="55">
        <f>IF('Inputs - Products'!$B$22=0,AM14*$B24,AM14*$B24*(1+'Inputs - Products'!$B$22))</f>
        <v>0</v>
      </c>
    </row>
    <row r="25" spans="1:39" ht="12" customHeight="1">
      <c r="A25" s="48" t="s">
        <v>41</v>
      </c>
      <c r="B25" s="49"/>
      <c r="C25" s="56"/>
      <c r="D25" s="56">
        <f t="shared" ref="D25:AM25" si="1">SUM(D19:D24)</f>
        <v>0</v>
      </c>
      <c r="E25" s="56">
        <f t="shared" si="1"/>
        <v>0</v>
      </c>
      <c r="F25" s="56">
        <f t="shared" si="1"/>
        <v>0</v>
      </c>
      <c r="G25" s="56">
        <f t="shared" si="1"/>
        <v>0</v>
      </c>
      <c r="H25" s="56">
        <f t="shared" si="1"/>
        <v>0</v>
      </c>
      <c r="I25" s="56">
        <f t="shared" si="1"/>
        <v>0</v>
      </c>
      <c r="J25" s="56">
        <f t="shared" si="1"/>
        <v>24000</v>
      </c>
      <c r="K25" s="56">
        <f t="shared" si="1"/>
        <v>0</v>
      </c>
      <c r="L25" s="56">
        <f t="shared" si="1"/>
        <v>24000</v>
      </c>
      <c r="M25" s="56">
        <f t="shared" si="1"/>
        <v>0</v>
      </c>
      <c r="N25" s="56">
        <f t="shared" si="1"/>
        <v>24000</v>
      </c>
      <c r="O25" s="56">
        <f t="shared" si="1"/>
        <v>0</v>
      </c>
      <c r="P25" s="56">
        <f t="shared" si="1"/>
        <v>24000</v>
      </c>
      <c r="Q25" s="56">
        <f t="shared" si="1"/>
        <v>0</v>
      </c>
      <c r="R25" s="56">
        <f t="shared" si="1"/>
        <v>24000</v>
      </c>
      <c r="S25" s="56">
        <f t="shared" si="1"/>
        <v>0</v>
      </c>
      <c r="T25" s="56">
        <f t="shared" si="1"/>
        <v>24000</v>
      </c>
      <c r="U25" s="56">
        <f t="shared" si="1"/>
        <v>0</v>
      </c>
      <c r="V25" s="56">
        <f t="shared" si="1"/>
        <v>24000</v>
      </c>
      <c r="W25" s="56">
        <f t="shared" si="1"/>
        <v>0</v>
      </c>
      <c r="X25" s="56">
        <f t="shared" si="1"/>
        <v>24000</v>
      </c>
      <c r="Y25" s="56">
        <f t="shared" si="1"/>
        <v>0</v>
      </c>
      <c r="Z25" s="56">
        <f t="shared" si="1"/>
        <v>24000</v>
      </c>
      <c r="AA25" s="56">
        <f t="shared" si="1"/>
        <v>0</v>
      </c>
      <c r="AB25" s="56">
        <f t="shared" si="1"/>
        <v>24000</v>
      </c>
      <c r="AC25" s="56">
        <f t="shared" si="1"/>
        <v>48000</v>
      </c>
      <c r="AD25" s="56">
        <f t="shared" si="1"/>
        <v>24000</v>
      </c>
      <c r="AE25" s="56">
        <f t="shared" si="1"/>
        <v>48000</v>
      </c>
      <c r="AF25" s="56">
        <f t="shared" si="1"/>
        <v>24000</v>
      </c>
      <c r="AG25" s="56">
        <f t="shared" si="1"/>
        <v>24000</v>
      </c>
      <c r="AH25" s="56">
        <f t="shared" si="1"/>
        <v>24000</v>
      </c>
      <c r="AI25" s="56">
        <f t="shared" si="1"/>
        <v>48000</v>
      </c>
      <c r="AJ25" s="56">
        <f t="shared" si="1"/>
        <v>24000</v>
      </c>
      <c r="AK25" s="56">
        <f t="shared" si="1"/>
        <v>24000</v>
      </c>
      <c r="AL25" s="56">
        <f t="shared" si="1"/>
        <v>24000</v>
      </c>
      <c r="AM25" s="56">
        <f t="shared" si="1"/>
        <v>24000</v>
      </c>
    </row>
    <row r="26" spans="1:39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12" customHeight="1">
      <c r="A27" s="41" t="s">
        <v>93</v>
      </c>
      <c r="B27" s="51" t="s">
        <v>94</v>
      </c>
      <c r="C27" s="42"/>
      <c r="D27" s="37"/>
      <c r="E27" s="37"/>
      <c r="F27" s="37"/>
      <c r="G27" s="37"/>
      <c r="H27" s="43"/>
      <c r="I27" s="43"/>
      <c r="J27" s="43"/>
      <c r="K27" s="43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43"/>
      <c r="Y27" s="43"/>
      <c r="Z27" s="43"/>
      <c r="AA27" s="43"/>
      <c r="AB27" s="37"/>
      <c r="AC27" s="37"/>
      <c r="AD27" s="37"/>
      <c r="AE27" s="37"/>
      <c r="AF27" s="37"/>
      <c r="AG27" s="37"/>
      <c r="AH27" s="37"/>
      <c r="AI27" s="37"/>
      <c r="AJ27" s="43"/>
      <c r="AK27" s="43"/>
      <c r="AL27" s="43"/>
      <c r="AM27" s="43"/>
    </row>
    <row r="28" spans="1:39" ht="12" customHeight="1">
      <c r="A28" s="41"/>
      <c r="B28" s="87"/>
      <c r="C28" s="42"/>
      <c r="D28" s="37"/>
      <c r="E28" s="37"/>
      <c r="F28" s="37"/>
      <c r="G28" s="37"/>
      <c r="H28" s="43"/>
      <c r="I28" s="43"/>
      <c r="J28" s="43"/>
      <c r="K28" s="43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43"/>
      <c r="Y28" s="43"/>
      <c r="Z28" s="43"/>
      <c r="AA28" s="43"/>
      <c r="AB28" s="37"/>
      <c r="AC28" s="37"/>
      <c r="AD28" s="37"/>
      <c r="AE28" s="37"/>
      <c r="AF28" s="37"/>
      <c r="AG28" s="37"/>
      <c r="AH28" s="37"/>
      <c r="AI28" s="37"/>
      <c r="AJ28" s="43"/>
      <c r="AK28" s="43"/>
      <c r="AL28" s="43"/>
      <c r="AM28" s="43"/>
    </row>
    <row r="29" spans="1:39" ht="12" customHeight="1" outlineLevel="1">
      <c r="A29" s="44" t="str">
        <f t="shared" ref="A29:A34" si="2">A19</f>
        <v>Isotretinoin Monitoring App - Annual Provider Subscription</v>
      </c>
      <c r="B29" s="38">
        <f>'Inputs - Products'!P8</f>
        <v>5260</v>
      </c>
      <c r="C29" s="54"/>
      <c r="D29" s="55">
        <f>IF(D19&gt;0,IF('Inputs - Products'!$B$23=0,(D9*$B29),(D9*$B29*(1+'Inputs - Products'!$B$23))),0)</f>
        <v>0</v>
      </c>
      <c r="E29" s="55">
        <f>IF(E19&gt;0,IF('Inputs - Products'!$B$23=0,(E9*$B29),(E9*$B29*(1+'Inputs - Products'!$B$23))),0)</f>
        <v>0</v>
      </c>
      <c r="F29" s="55">
        <f>IF(F19&gt;0,IF('Inputs - Products'!$B$23=0,(F9*$B29),(F9*$B29*(1+'Inputs - Products'!$B$23))),0)</f>
        <v>0</v>
      </c>
      <c r="G29" s="55">
        <f>IF(G19&gt;0,IF('Inputs - Products'!$B$23=0,(G9*$B29),(G9*$B29*(1+'Inputs - Products'!$B$23))),0)</f>
        <v>0</v>
      </c>
      <c r="H29" s="55">
        <f>IF(H19&gt;0,IF('Inputs - Products'!$B$23=0,(H9*$B29),(H9*$B29*(1+'Inputs - Products'!$B$23))),0)</f>
        <v>0</v>
      </c>
      <c r="I29" s="55">
        <f>IF(I19&gt;0,IF('Inputs - Products'!$B$23=0,(I9*$B29),(I9*$B29*(1+'Inputs - Products'!$B$23))),0)</f>
        <v>0</v>
      </c>
      <c r="J29" s="55">
        <f>IF(J19&gt;0,IF('Inputs - Products'!$B$23=0,(J9*$B29),(J9*$B29*(1+'Inputs - Products'!$B$23))),0)</f>
        <v>5260</v>
      </c>
      <c r="K29" s="55">
        <f>IF(K19&gt;0,IF('Inputs - Products'!$B$23=0,(K9*$B29),(K9*$B29*(1+'Inputs - Products'!$B$23))),0)</f>
        <v>0</v>
      </c>
      <c r="L29" s="55">
        <f>IF(L19&gt;0,IF('Inputs - Products'!$B$23=0,(L9*$B29),(L9*$B29*(1+'Inputs - Products'!$B$23))),0)</f>
        <v>5260</v>
      </c>
      <c r="M29" s="55">
        <f>IF(M19&gt;0,IF('Inputs - Products'!$B$23=0,(M9*$B29),(M9*$B29*(1+'Inputs - Products'!$B$23))),0)</f>
        <v>0</v>
      </c>
      <c r="N29" s="55">
        <f>IF(N19&gt;0,IF('Inputs - Products'!$B$23=0,(N9*$B29),(N9*$B29*(1+'Inputs - Products'!$B$23))),0)</f>
        <v>5260</v>
      </c>
      <c r="O29" s="55">
        <f>IF(O19&gt;0,IF('Inputs - Products'!$B$23=0,(O9*$B29),(O9*$B29*(1+'Inputs - Products'!$B$23))),0)</f>
        <v>0</v>
      </c>
      <c r="P29" s="55">
        <f>IF(P19&gt;0,IF('Inputs - Products'!$B$23=0,(P9*$B29),(P9*$B29*(1+'Inputs - Products'!$B$23))),0)</f>
        <v>5260</v>
      </c>
      <c r="Q29" s="55">
        <f>IF(Q19&gt;0,IF('Inputs - Products'!$B$23=0,(Q9*$B29),(Q9*$B29*(1+'Inputs - Products'!$B$23))),0)</f>
        <v>0</v>
      </c>
      <c r="R29" s="55">
        <f>IF(R19&gt;0,IF('Inputs - Products'!$B$23=0,(R9*$B29),(R9*$B29*(1+'Inputs - Products'!$B$23))),0)</f>
        <v>5260</v>
      </c>
      <c r="S29" s="55">
        <f>IF(S19&gt;0,IF('Inputs - Products'!$B$23=0,(S9*$B29),(S9*$B29*(1+'Inputs - Products'!$B$23))),0)</f>
        <v>0</v>
      </c>
      <c r="T29" s="55">
        <f>IF(T19&gt;0,IF('Inputs - Products'!$B$23=0,(T9*$B29),(T9*$B29*(1+'Inputs - Products'!$B$23))),0)</f>
        <v>5260</v>
      </c>
      <c r="U29" s="55">
        <f>IF(U19&gt;0,IF('Inputs - Products'!$B$23=0,(U9*$B29),(U9*$B29*(1+'Inputs - Products'!$B$23))),0)</f>
        <v>0</v>
      </c>
      <c r="V29" s="55">
        <f>IF(V19&gt;0,IF('Inputs - Products'!$B$23=0,(V9*$B29),(V9*$B29*(1+'Inputs - Products'!$B$23))),0)</f>
        <v>5260</v>
      </c>
      <c r="W29" s="55">
        <f>IF(W19&gt;0,IF('Inputs - Products'!$B$23=0,(W9*$B29),(W9*$B29*(1+'Inputs - Products'!$B$23))),0)</f>
        <v>0</v>
      </c>
      <c r="X29" s="55">
        <f>IF(X19&gt;0,IF('Inputs - Products'!$B$23=0,(X9*$B29),(X9*$B29*(1+'Inputs - Products'!$B$23))),0)</f>
        <v>5260</v>
      </c>
      <c r="Y29" s="55">
        <f>IF(Y19&gt;0,IF('Inputs - Products'!$B$23=0,(Y9*$B29),(Y9*$B29*(1+'Inputs - Products'!$B$23))),0)</f>
        <v>0</v>
      </c>
      <c r="Z29" s="55">
        <f>IF(Z19&gt;0,IF('Inputs - Products'!$B$23=0,(Z9*$B29),(Z9*$B29*(1+'Inputs - Products'!$B$23))),0)</f>
        <v>5260</v>
      </c>
      <c r="AA29" s="55">
        <f>IF(AA19&gt;0,IF('Inputs - Products'!$B$23=0,(AA9*$B29),(AA9*$B29*(1+'Inputs - Products'!$B$23))),0)</f>
        <v>0</v>
      </c>
      <c r="AB29" s="55">
        <f>IF(AB19&gt;0,IF('Inputs - Products'!$B$23=0,(AB9*$B29),(AB9*$B29*(1+'Inputs - Products'!$B$23))),0)</f>
        <v>5260</v>
      </c>
      <c r="AC29" s="55">
        <f>IF(AC19&gt;0,IF('Inputs - Products'!$B$23=0,(AC9*$B29),(AC9*$B29*(1+'Inputs - Products'!$B$23))),0)</f>
        <v>10520</v>
      </c>
      <c r="AD29" s="55">
        <f>IF(AD19&gt;0,IF('Inputs - Products'!$B$23=0,(AD9*$B29),(AD9*$B29*(1+'Inputs - Products'!$B$23))),0)</f>
        <v>5260</v>
      </c>
      <c r="AE29" s="55">
        <f>IF(AE19&gt;0,IF('Inputs - Products'!$B$23=0,(AE9*$B29),(AE9*$B29*(1+'Inputs - Products'!$B$23))),0)</f>
        <v>10520</v>
      </c>
      <c r="AF29" s="55">
        <f>IF(AF19&gt;0,IF('Inputs - Products'!$B$23=0,(AF9*$B29),(AF9*$B29*(1+'Inputs - Products'!$B$23))),0)</f>
        <v>5260</v>
      </c>
      <c r="AG29" s="55">
        <f>IF(AG19&gt;0,IF('Inputs - Products'!$B$23=0,(AG9*$B29),(AG9*$B29*(1+'Inputs - Products'!$B$23))),0)</f>
        <v>5260</v>
      </c>
      <c r="AH29" s="55">
        <f>IF(AH19&gt;0,IF('Inputs - Products'!$B$23=0,(AH9*$B29),(AH9*$B29*(1+'Inputs - Products'!$B$23))),0)</f>
        <v>5260</v>
      </c>
      <c r="AI29" s="55">
        <f>IF(AI19&gt;0,IF('Inputs - Products'!$B$23=0,(AI9*$B29),(AI9*$B29*(1+'Inputs - Products'!$B$23))),0)</f>
        <v>10520</v>
      </c>
      <c r="AJ29" s="55">
        <f>IF(AJ19&gt;0,IF('Inputs - Products'!$B$23=0,(AJ9*$B29),(AJ9*$B29*(1+'Inputs - Products'!$B$23))),0)</f>
        <v>5260</v>
      </c>
      <c r="AK29" s="55">
        <f>IF(AK19&gt;0,IF('Inputs - Products'!$B$23=0,(AK9*$B29),(AK9*$B29*(1+'Inputs - Products'!$B$23))),0)</f>
        <v>5260</v>
      </c>
      <c r="AL29" s="55">
        <f>IF(AL19&gt;0,IF('Inputs - Products'!$B$23=0,(AL9*$B29),(AL9*$B29*(1+'Inputs - Products'!$B$23))),0)</f>
        <v>5260</v>
      </c>
      <c r="AM29" s="55">
        <f>IF(AM19&gt;0,IF('Inputs - Products'!$B$23=0,(AM9*$B29),(AM9*$B29*(1+'Inputs - Products'!$B$23))),0)</f>
        <v>5260</v>
      </c>
    </row>
    <row r="30" spans="1:39" ht="12" customHeight="1" outlineLevel="1">
      <c r="A30" s="44" t="str">
        <f t="shared" si="2"/>
        <v>Product 2</v>
      </c>
      <c r="B30" s="38">
        <f>'Inputs - Products'!P9</f>
        <v>0</v>
      </c>
      <c r="C30" s="54"/>
      <c r="D30" s="55">
        <f>IF(D20&gt;0,IF('Inputs - Products'!$B$23=0,(D10*$B30),(D10*$B30*(1+'Inputs - Products'!$B$23))),0)</f>
        <v>0</v>
      </c>
      <c r="E30" s="55">
        <f>IF(E20&gt;0,IF('Inputs - Products'!$B$23=0,(E10*$B30),(E10*$B30*(1+'Inputs - Products'!$B$23))),0)</f>
        <v>0</v>
      </c>
      <c r="F30" s="55">
        <f>IF(F20&gt;0,IF('Inputs - Products'!$B$23=0,(F10*$B30),(F10*$B30*(1+'Inputs - Products'!$B$23))),0)</f>
        <v>0</v>
      </c>
      <c r="G30" s="55">
        <f>IF(G20&gt;0,IF('Inputs - Products'!$B$23=0,(G10*$B30),(G10*$B30*(1+'Inputs - Products'!$B$23))),0)</f>
        <v>0</v>
      </c>
      <c r="H30" s="55">
        <f>IF(H20&gt;0,IF('Inputs - Products'!$B$23=0,(H10*$B30),(H10*$B30*(1+'Inputs - Products'!$B$23))),0)</f>
        <v>0</v>
      </c>
      <c r="I30" s="55">
        <f>IF(I20&gt;0,IF('Inputs - Products'!$B$23=0,(I10*$B30),(I10*$B30*(1+'Inputs - Products'!$B$23))),0)</f>
        <v>0</v>
      </c>
      <c r="J30" s="55">
        <f>IF(J20&gt;0,IF('Inputs - Products'!$B$23=0,(J10*$B30),(J10*$B30*(1+'Inputs - Products'!$B$23))),0)</f>
        <v>0</v>
      </c>
      <c r="K30" s="55">
        <f>IF(K20&gt;0,IF('Inputs - Products'!$B$23=0,(K10*$B30),(K10*$B30*(1+'Inputs - Products'!$B$23))),0)</f>
        <v>0</v>
      </c>
      <c r="L30" s="55">
        <f>IF(L20&gt;0,IF('Inputs - Products'!$B$23=0,(L10*$B30),(L10*$B30*(1+'Inputs - Products'!$B$23))),0)</f>
        <v>0</v>
      </c>
      <c r="M30" s="55">
        <f>IF(M20&gt;0,IF('Inputs - Products'!$B$23=0,(M10*$B30),(M10*$B30*(1+'Inputs - Products'!$B$23))),0)</f>
        <v>0</v>
      </c>
      <c r="N30" s="55">
        <f>IF(N20&gt;0,IF('Inputs - Products'!$B$23=0,(N10*$B30),(N10*$B30*(1+'Inputs - Products'!$B$23))),0)</f>
        <v>0</v>
      </c>
      <c r="O30" s="55">
        <f>IF(O20&gt;0,IF('Inputs - Products'!$B$23=0,(O10*$B30),(O10*$B30*(1+'Inputs - Products'!$B$23))),0)</f>
        <v>0</v>
      </c>
      <c r="P30" s="55">
        <f>IF(P20&gt;0,IF('Inputs - Products'!$B$23=0,(P10*$B30),(P10*$B30*(1+'Inputs - Products'!$B$23))),0)</f>
        <v>0</v>
      </c>
      <c r="Q30" s="55">
        <f>IF(Q20&gt;0,IF('Inputs - Products'!$B$23=0,(Q10*$B30),(Q10*$B30*(1+'Inputs - Products'!$B$23))),0)</f>
        <v>0</v>
      </c>
      <c r="R30" s="55">
        <f>IF(R20&gt;0,IF('Inputs - Products'!$B$23=0,(R10*$B30),(R10*$B30*(1+'Inputs - Products'!$B$23))),0)</f>
        <v>0</v>
      </c>
      <c r="S30" s="55">
        <f>IF(S20&gt;0,IF('Inputs - Products'!$B$23=0,(S10*$B30),(S10*$B30*(1+'Inputs - Products'!$B$23))),0)</f>
        <v>0</v>
      </c>
      <c r="T30" s="55">
        <f>IF(T20&gt;0,IF('Inputs - Products'!$B$23=0,(T10*$B30),(T10*$B30*(1+'Inputs - Products'!$B$23))),0)</f>
        <v>0</v>
      </c>
      <c r="U30" s="55">
        <f>IF(U20&gt;0,IF('Inputs - Products'!$B$23=0,(U10*$B30),(U10*$B30*(1+'Inputs - Products'!$B$23))),0)</f>
        <v>0</v>
      </c>
      <c r="V30" s="55">
        <f>IF(V20&gt;0,IF('Inputs - Products'!$B$23=0,(V10*$B30),(V10*$B30*(1+'Inputs - Products'!$B$23))),0)</f>
        <v>0</v>
      </c>
      <c r="W30" s="55">
        <f>IF(W20&gt;0,IF('Inputs - Products'!$B$23=0,(W10*$B30),(W10*$B30*(1+'Inputs - Products'!$B$23))),0)</f>
        <v>0</v>
      </c>
      <c r="X30" s="55">
        <f>IF(X20&gt;0,IF('Inputs - Products'!$B$23=0,(X10*$B30),(X10*$B30*(1+'Inputs - Products'!$B$23))),0)</f>
        <v>0</v>
      </c>
      <c r="Y30" s="55">
        <f>IF(Y20&gt;0,IF('Inputs - Products'!$B$23=0,(Y10*$B30),(Y10*$B30*(1+'Inputs - Products'!$B$23))),0)</f>
        <v>0</v>
      </c>
      <c r="Z30" s="55">
        <f>IF(Z20&gt;0,IF('Inputs - Products'!$B$23=0,(Z10*$B30),(Z10*$B30*(1+'Inputs - Products'!$B$23))),0)</f>
        <v>0</v>
      </c>
      <c r="AA30" s="55">
        <f>IF(AA20&gt;0,IF('Inputs - Products'!$B$23=0,(AA10*$B30),(AA10*$B30*(1+'Inputs - Products'!$B$23))),0)</f>
        <v>0</v>
      </c>
      <c r="AB30" s="55">
        <f>IF(AB20&gt;0,IF('Inputs - Products'!$B$23=0,(AB10*$B30),(AB10*$B30*(1+'Inputs - Products'!$B$23))),0)</f>
        <v>0</v>
      </c>
      <c r="AC30" s="55">
        <f>IF(AC20&gt;0,IF('Inputs - Products'!$B$23=0,(AC10*$B30),(AC10*$B30*(1+'Inputs - Products'!$B$23))),0)</f>
        <v>0</v>
      </c>
      <c r="AD30" s="55">
        <f>IF(AD20&gt;0,IF('Inputs - Products'!$B$23=0,(AD10*$B30),(AD10*$B30*(1+'Inputs - Products'!$B$23))),0)</f>
        <v>0</v>
      </c>
      <c r="AE30" s="55">
        <f>IF(AE20&gt;0,IF('Inputs - Products'!$B$23=0,(AE10*$B30),(AE10*$B30*(1+'Inputs - Products'!$B$23))),0)</f>
        <v>0</v>
      </c>
      <c r="AF30" s="55">
        <f>IF(AF20&gt;0,IF('Inputs - Products'!$B$23=0,(AF10*$B30),(AF10*$B30*(1+'Inputs - Products'!$B$23))),0)</f>
        <v>0</v>
      </c>
      <c r="AG30" s="55">
        <f>IF(AG20&gt;0,IF('Inputs - Products'!$B$23=0,(AG10*$B30),(AG10*$B30*(1+'Inputs - Products'!$B$23))),0)</f>
        <v>0</v>
      </c>
      <c r="AH30" s="55">
        <f>IF(AH20&gt;0,IF('Inputs - Products'!$B$23=0,(AH10*$B30),(AH10*$B30*(1+'Inputs - Products'!$B$23))),0)</f>
        <v>0</v>
      </c>
      <c r="AI30" s="55">
        <f>IF(AI20&gt;0,IF('Inputs - Products'!$B$23=0,(AI10*$B30),(AI10*$B30*(1+'Inputs - Products'!$B$23))),0)</f>
        <v>0</v>
      </c>
      <c r="AJ30" s="55">
        <f>IF(AJ20&gt;0,IF('Inputs - Products'!$B$23=0,(AJ10*$B30),(AJ10*$B30*(1+'Inputs - Products'!$B$23))),0)</f>
        <v>0</v>
      </c>
      <c r="AK30" s="55">
        <f>IF(AK20&gt;0,IF('Inputs - Products'!$B$23=0,(AK10*$B30),(AK10*$B30*(1+'Inputs - Products'!$B$23))),0)</f>
        <v>0</v>
      </c>
      <c r="AL30" s="55">
        <f>IF(AL20&gt;0,IF('Inputs - Products'!$B$23=0,(AL10*$B30),(AL10*$B30*(1+'Inputs - Products'!$B$23))),0)</f>
        <v>0</v>
      </c>
      <c r="AM30" s="55">
        <f>IF(AM20&gt;0,IF('Inputs - Products'!$B$23=0,(AM10*$B30),(AM10*$B30*(1+'Inputs - Products'!$B$23))),0)</f>
        <v>0</v>
      </c>
    </row>
    <row r="31" spans="1:39" ht="12" customHeight="1" outlineLevel="1">
      <c r="A31" s="44" t="str">
        <f t="shared" si="2"/>
        <v>Product 3</v>
      </c>
      <c r="B31" s="38">
        <f>'Inputs - Products'!P10</f>
        <v>0</v>
      </c>
      <c r="C31" s="54"/>
      <c r="D31" s="55">
        <f>IF(D21&gt;0,IF('Inputs - Products'!$B$23=0,(D11*$B31),(D11*$B31*(1+'Inputs - Products'!$B$23))),0)</f>
        <v>0</v>
      </c>
      <c r="E31" s="55">
        <f>IF(E21&gt;0,IF('Inputs - Products'!$B$23=0,(E11*$B31),(E11*$B31*(1+'Inputs - Products'!$B$23))),0)</f>
        <v>0</v>
      </c>
      <c r="F31" s="55">
        <f>IF(F21&gt;0,IF('Inputs - Products'!$B$23=0,(F11*$B31),(F11*$B31*(1+'Inputs - Products'!$B$23))),0)</f>
        <v>0</v>
      </c>
      <c r="G31" s="55">
        <f>IF(G21&gt;0,IF('Inputs - Products'!$B$23=0,(G11*$B31),(G11*$B31*(1+'Inputs - Products'!$B$23))),0)</f>
        <v>0</v>
      </c>
      <c r="H31" s="55">
        <f>IF(H21&gt;0,IF('Inputs - Products'!$B$23=0,(H11*$B31),(H11*$B31*(1+'Inputs - Products'!$B$23))),0)</f>
        <v>0</v>
      </c>
      <c r="I31" s="55">
        <f>IF(I21&gt;0,IF('Inputs - Products'!$B$23=0,(I11*$B31),(I11*$B31*(1+'Inputs - Products'!$B$23))),0)</f>
        <v>0</v>
      </c>
      <c r="J31" s="55">
        <f>IF(J21&gt;0,IF('Inputs - Products'!$B$23=0,(J11*$B31),(J11*$B31*(1+'Inputs - Products'!$B$23))),0)</f>
        <v>0</v>
      </c>
      <c r="K31" s="55">
        <f>IF(K21&gt;0,IF('Inputs - Products'!$B$23=0,(K11*$B31),(K11*$B31*(1+'Inputs - Products'!$B$23))),0)</f>
        <v>0</v>
      </c>
      <c r="L31" s="55">
        <f>IF(L21&gt;0,IF('Inputs - Products'!$B$23=0,(L11*$B31),(L11*$B31*(1+'Inputs - Products'!$B$23))),0)</f>
        <v>0</v>
      </c>
      <c r="M31" s="55">
        <f>IF(M21&gt;0,IF('Inputs - Products'!$B$23=0,(M11*$B31),(M11*$B31*(1+'Inputs - Products'!$B$23))),0)</f>
        <v>0</v>
      </c>
      <c r="N31" s="55">
        <f>IF(N21&gt;0,IF('Inputs - Products'!$B$23=0,(N11*$B31),(N11*$B31*(1+'Inputs - Products'!$B$23))),0)</f>
        <v>0</v>
      </c>
      <c r="O31" s="55">
        <f>IF(O21&gt;0,IF('Inputs - Products'!$B$23=0,(O11*$B31),(O11*$B31*(1+'Inputs - Products'!$B$23))),0)</f>
        <v>0</v>
      </c>
      <c r="P31" s="55">
        <f>IF(P21&gt;0,IF('Inputs - Products'!$B$23=0,(P11*$B31),(P11*$B31*(1+'Inputs - Products'!$B$23))),0)</f>
        <v>0</v>
      </c>
      <c r="Q31" s="55">
        <f>IF(Q21&gt;0,IF('Inputs - Products'!$B$23=0,(Q11*$B31),(Q11*$B31*(1+'Inputs - Products'!$B$23))),0)</f>
        <v>0</v>
      </c>
      <c r="R31" s="55">
        <f>IF(R21&gt;0,IF('Inputs - Products'!$B$23=0,(R11*$B31),(R11*$B31*(1+'Inputs - Products'!$B$23))),0)</f>
        <v>0</v>
      </c>
      <c r="S31" s="55">
        <f>IF(S21&gt;0,IF('Inputs - Products'!$B$23=0,(S11*$B31),(S11*$B31*(1+'Inputs - Products'!$B$23))),0)</f>
        <v>0</v>
      </c>
      <c r="T31" s="55">
        <f>IF(T21&gt;0,IF('Inputs - Products'!$B$23=0,(T11*$B31),(T11*$B31*(1+'Inputs - Products'!$B$23))),0)</f>
        <v>0</v>
      </c>
      <c r="U31" s="55">
        <f>IF(U21&gt;0,IF('Inputs - Products'!$B$23=0,(U11*$B31),(U11*$B31*(1+'Inputs - Products'!$B$23))),0)</f>
        <v>0</v>
      </c>
      <c r="V31" s="55">
        <f>IF(V21&gt;0,IF('Inputs - Products'!$B$23=0,(V11*$B31),(V11*$B31*(1+'Inputs - Products'!$B$23))),0)</f>
        <v>0</v>
      </c>
      <c r="W31" s="55">
        <f>IF(W21&gt;0,IF('Inputs - Products'!$B$23=0,(W11*$B31),(W11*$B31*(1+'Inputs - Products'!$B$23))),0)</f>
        <v>0</v>
      </c>
      <c r="X31" s="55">
        <f>IF(X21&gt;0,IF('Inputs - Products'!$B$23=0,(X11*$B31),(X11*$B31*(1+'Inputs - Products'!$B$23))),0)</f>
        <v>0</v>
      </c>
      <c r="Y31" s="55">
        <f>IF(Y21&gt;0,IF('Inputs - Products'!$B$23=0,(Y11*$B31),(Y11*$B31*(1+'Inputs - Products'!$B$23))),0)</f>
        <v>0</v>
      </c>
      <c r="Z31" s="55">
        <f>IF(Z21&gt;0,IF('Inputs - Products'!$B$23=0,(Z11*$B31),(Z11*$B31*(1+'Inputs - Products'!$B$23))),0)</f>
        <v>0</v>
      </c>
      <c r="AA31" s="55">
        <f>IF(AA21&gt;0,IF('Inputs - Products'!$B$23=0,(AA11*$B31),(AA11*$B31*(1+'Inputs - Products'!$B$23))),0)</f>
        <v>0</v>
      </c>
      <c r="AB31" s="55">
        <f>IF(AB21&gt;0,IF('Inputs - Products'!$B$23=0,(AB11*$B31),(AB11*$B31*(1+'Inputs - Products'!$B$23))),0)</f>
        <v>0</v>
      </c>
      <c r="AC31" s="55">
        <f>IF(AC21&gt;0,IF('Inputs - Products'!$B$23=0,(AC11*$B31),(AC11*$B31*(1+'Inputs - Products'!$B$23))),0)</f>
        <v>0</v>
      </c>
      <c r="AD31" s="55">
        <f>IF(AD21&gt;0,IF('Inputs - Products'!$B$23=0,(AD11*$B31),(AD11*$B31*(1+'Inputs - Products'!$B$23))),0)</f>
        <v>0</v>
      </c>
      <c r="AE31" s="55">
        <f>IF(AE21&gt;0,IF('Inputs - Products'!$B$23=0,(AE11*$B31),(AE11*$B31*(1+'Inputs - Products'!$B$23))),0)</f>
        <v>0</v>
      </c>
      <c r="AF31" s="55">
        <f>IF(AF21&gt;0,IF('Inputs - Products'!$B$23=0,(AF11*$B31),(AF11*$B31*(1+'Inputs - Products'!$B$23))),0)</f>
        <v>0</v>
      </c>
      <c r="AG31" s="55">
        <f>IF(AG21&gt;0,IF('Inputs - Products'!$B$23=0,(AG11*$B31),(AG11*$B31*(1+'Inputs - Products'!$B$23))),0)</f>
        <v>0</v>
      </c>
      <c r="AH31" s="55">
        <f>IF(AH21&gt;0,IF('Inputs - Products'!$B$23=0,(AH11*$B31),(AH11*$B31*(1+'Inputs - Products'!$B$23))),0)</f>
        <v>0</v>
      </c>
      <c r="AI31" s="55">
        <f>IF(AI21&gt;0,IF('Inputs - Products'!$B$23=0,(AI11*$B31),(AI11*$B31*(1+'Inputs - Products'!$B$23))),0)</f>
        <v>0</v>
      </c>
      <c r="AJ31" s="55">
        <f>IF(AJ21&gt;0,IF('Inputs - Products'!$B$23=0,(AJ11*$B31),(AJ11*$B31*(1+'Inputs - Products'!$B$23))),0)</f>
        <v>0</v>
      </c>
      <c r="AK31" s="55">
        <f>IF(AK21&gt;0,IF('Inputs - Products'!$B$23=0,(AK11*$B31),(AK11*$B31*(1+'Inputs - Products'!$B$23))),0)</f>
        <v>0</v>
      </c>
      <c r="AL31" s="55">
        <f>IF(AL21&gt;0,IF('Inputs - Products'!$B$23=0,(AL11*$B31),(AL11*$B31*(1+'Inputs - Products'!$B$23))),0)</f>
        <v>0</v>
      </c>
      <c r="AM31" s="55">
        <f>IF(AM21&gt;0,IF('Inputs - Products'!$B$23=0,(AM11*$B31),(AM11*$B31*(1+'Inputs - Products'!$B$23))),0)</f>
        <v>0</v>
      </c>
    </row>
    <row r="32" spans="1:39" ht="12" customHeight="1" outlineLevel="1">
      <c r="A32" s="44" t="str">
        <f t="shared" si="2"/>
        <v>Product 4</v>
      </c>
      <c r="B32" s="38">
        <f>'Inputs - Products'!P11</f>
        <v>0</v>
      </c>
      <c r="C32" s="54"/>
      <c r="D32" s="55">
        <f>IF(D22&gt;0,IF('Inputs - Products'!$B$23=0,(D12*$B32),(D12*$B32*(1+'Inputs - Products'!$B$23))),0)</f>
        <v>0</v>
      </c>
      <c r="E32" s="55">
        <f>IF(E22&gt;0,IF('Inputs - Products'!$B$23=0,(E12*$B32),(E12*$B32*(1+'Inputs - Products'!$B$23))),0)</f>
        <v>0</v>
      </c>
      <c r="F32" s="55">
        <f>IF(F22&gt;0,IF('Inputs - Products'!$B$23=0,(F12*$B32),(F12*$B32*(1+'Inputs - Products'!$B$23))),0)</f>
        <v>0</v>
      </c>
      <c r="G32" s="55">
        <f>IF(G22&gt;0,IF('Inputs - Products'!$B$23=0,(G12*$B32),(G12*$B32*(1+'Inputs - Products'!$B$23))),0)</f>
        <v>0</v>
      </c>
      <c r="H32" s="55">
        <f>IF(H22&gt;0,IF('Inputs - Products'!$B$23=0,(H12*$B32),(H12*$B32*(1+'Inputs - Products'!$B$23))),0)</f>
        <v>0</v>
      </c>
      <c r="I32" s="55">
        <f>IF(I22&gt;0,IF('Inputs - Products'!$B$23=0,(I12*$B32),(I12*$B32*(1+'Inputs - Products'!$B$23))),0)</f>
        <v>0</v>
      </c>
      <c r="J32" s="55">
        <f>IF(J22&gt;0,IF('Inputs - Products'!$B$23=0,(J12*$B32),(J12*$B32*(1+'Inputs - Products'!$B$23))),0)</f>
        <v>0</v>
      </c>
      <c r="K32" s="55">
        <f>IF(K22&gt;0,IF('Inputs - Products'!$B$23=0,(K12*$B32),(K12*$B32*(1+'Inputs - Products'!$B$23))),0)</f>
        <v>0</v>
      </c>
      <c r="L32" s="55">
        <f>IF(L22&gt;0,IF('Inputs - Products'!$B$23=0,(L12*$B32),(L12*$B32*(1+'Inputs - Products'!$B$23))),0)</f>
        <v>0</v>
      </c>
      <c r="M32" s="55">
        <f>IF(M22&gt;0,IF('Inputs - Products'!$B$23=0,(M12*$B32),(M12*$B32*(1+'Inputs - Products'!$B$23))),0)</f>
        <v>0</v>
      </c>
      <c r="N32" s="55">
        <f>IF(N22&gt;0,IF('Inputs - Products'!$B$23=0,(N12*$B32),(N12*$B32*(1+'Inputs - Products'!$B$23))),0)</f>
        <v>0</v>
      </c>
      <c r="O32" s="55">
        <f>IF(O22&gt;0,IF('Inputs - Products'!$B$23=0,(O12*$B32),(O12*$B32*(1+'Inputs - Products'!$B$23))),0)</f>
        <v>0</v>
      </c>
      <c r="P32" s="55">
        <f>IF(P22&gt;0,IF('Inputs - Products'!$B$23=0,(P12*$B32),(P12*$B32*(1+'Inputs - Products'!$B$23))),0)</f>
        <v>0</v>
      </c>
      <c r="Q32" s="55">
        <f>IF(Q22&gt;0,IF('Inputs - Products'!$B$23=0,(Q12*$B32),(Q12*$B32*(1+'Inputs - Products'!$B$23))),0)</f>
        <v>0</v>
      </c>
      <c r="R32" s="55">
        <f>IF(R22&gt;0,IF('Inputs - Products'!$B$23=0,(R12*$B32),(R12*$B32*(1+'Inputs - Products'!$B$23))),0)</f>
        <v>0</v>
      </c>
      <c r="S32" s="55">
        <f>IF(S22&gt;0,IF('Inputs - Products'!$B$23=0,(S12*$B32),(S12*$B32*(1+'Inputs - Products'!$B$23))),0)</f>
        <v>0</v>
      </c>
      <c r="T32" s="55">
        <f>IF(T22&gt;0,IF('Inputs - Products'!$B$23=0,(T12*$B32),(T12*$B32*(1+'Inputs - Products'!$B$23))),0)</f>
        <v>0</v>
      </c>
      <c r="U32" s="55">
        <f>IF(U22&gt;0,IF('Inputs - Products'!$B$23=0,(U12*$B32),(U12*$B32*(1+'Inputs - Products'!$B$23))),0)</f>
        <v>0</v>
      </c>
      <c r="V32" s="55">
        <f>IF(V22&gt;0,IF('Inputs - Products'!$B$23=0,(V12*$B32),(V12*$B32*(1+'Inputs - Products'!$B$23))),0)</f>
        <v>0</v>
      </c>
      <c r="W32" s="55">
        <f>IF(W22&gt;0,IF('Inputs - Products'!$B$23=0,(W12*$B32),(W12*$B32*(1+'Inputs - Products'!$B$23))),0)</f>
        <v>0</v>
      </c>
      <c r="X32" s="55">
        <f>IF(X22&gt;0,IF('Inputs - Products'!$B$23=0,(X12*$B32),(X12*$B32*(1+'Inputs - Products'!$B$23))),0)</f>
        <v>0</v>
      </c>
      <c r="Y32" s="55">
        <f>IF(Y22&gt;0,IF('Inputs - Products'!$B$23=0,(Y12*$B32),(Y12*$B32*(1+'Inputs - Products'!$B$23))),0)</f>
        <v>0</v>
      </c>
      <c r="Z32" s="55">
        <f>IF(Z22&gt;0,IF('Inputs - Products'!$B$23=0,(Z12*$B32),(Z12*$B32*(1+'Inputs - Products'!$B$23))),0)</f>
        <v>0</v>
      </c>
      <c r="AA32" s="55">
        <f>IF(AA22&gt;0,IF('Inputs - Products'!$B$23=0,(AA12*$B32),(AA12*$B32*(1+'Inputs - Products'!$B$23))),0)</f>
        <v>0</v>
      </c>
      <c r="AB32" s="55">
        <f>IF(AB22&gt;0,IF('Inputs - Products'!$B$23=0,(AB12*$B32),(AB12*$B32*(1+'Inputs - Products'!$B$23))),0)</f>
        <v>0</v>
      </c>
      <c r="AC32" s="55">
        <f>IF(AC22&gt;0,IF('Inputs - Products'!$B$23=0,(AC12*$B32),(AC12*$B32*(1+'Inputs - Products'!$B$23))),0)</f>
        <v>0</v>
      </c>
      <c r="AD32" s="55">
        <f>IF(AD22&gt;0,IF('Inputs - Products'!$B$23=0,(AD12*$B32),(AD12*$B32*(1+'Inputs - Products'!$B$23))),0)</f>
        <v>0</v>
      </c>
      <c r="AE32" s="55">
        <f>IF(AE22&gt;0,IF('Inputs - Products'!$B$23=0,(AE12*$B32),(AE12*$B32*(1+'Inputs - Products'!$B$23))),0)</f>
        <v>0</v>
      </c>
      <c r="AF32" s="55">
        <f>IF(AF22&gt;0,IF('Inputs - Products'!$B$23=0,(AF12*$B32),(AF12*$B32*(1+'Inputs - Products'!$B$23))),0)</f>
        <v>0</v>
      </c>
      <c r="AG32" s="55">
        <f>IF(AG22&gt;0,IF('Inputs - Products'!$B$23=0,(AG12*$B32),(AG12*$B32*(1+'Inputs - Products'!$B$23))),0)</f>
        <v>0</v>
      </c>
      <c r="AH32" s="55">
        <f>IF(AH22&gt;0,IF('Inputs - Products'!$B$23=0,(AH12*$B32),(AH12*$B32*(1+'Inputs - Products'!$B$23))),0)</f>
        <v>0</v>
      </c>
      <c r="AI32" s="55">
        <f>IF(AI22&gt;0,IF('Inputs - Products'!$B$23=0,(AI12*$B32),(AI12*$B32*(1+'Inputs - Products'!$B$23))),0)</f>
        <v>0</v>
      </c>
      <c r="AJ32" s="55">
        <f>IF(AJ22&gt;0,IF('Inputs - Products'!$B$23=0,(AJ12*$B32),(AJ12*$B32*(1+'Inputs - Products'!$B$23))),0)</f>
        <v>0</v>
      </c>
      <c r="AK32" s="55">
        <f>IF(AK22&gt;0,IF('Inputs - Products'!$B$23=0,(AK12*$B32),(AK12*$B32*(1+'Inputs - Products'!$B$23))),0)</f>
        <v>0</v>
      </c>
      <c r="AL32" s="55">
        <f>IF(AL22&gt;0,IF('Inputs - Products'!$B$23=0,(AL12*$B32),(AL12*$B32*(1+'Inputs - Products'!$B$23))),0)</f>
        <v>0</v>
      </c>
      <c r="AM32" s="55">
        <f>IF(AM22&gt;0,IF('Inputs - Products'!$B$23=0,(AM12*$B32),(AM12*$B32*(1+'Inputs - Products'!$B$23))),0)</f>
        <v>0</v>
      </c>
    </row>
    <row r="33" spans="1:39" ht="12" customHeight="1" outlineLevel="1">
      <c r="A33" s="44" t="str">
        <f t="shared" si="2"/>
        <v>Product 5</v>
      </c>
      <c r="B33" s="38">
        <f>'Inputs - Products'!P12</f>
        <v>0</v>
      </c>
      <c r="C33" s="54"/>
      <c r="D33" s="55">
        <f>IF(D23&gt;0,IF('Inputs - Products'!$B$23=0,(D13*$B33),(D13*$B33*(1+'Inputs - Products'!$B$23))),0)</f>
        <v>0</v>
      </c>
      <c r="E33" s="55">
        <f>IF(E23&gt;0,IF('Inputs - Products'!$B$23=0,(E13*$B33),(E13*$B33*(1+'Inputs - Products'!$B$23))),0)</f>
        <v>0</v>
      </c>
      <c r="F33" s="55">
        <f>IF(F23&gt;0,IF('Inputs - Products'!$B$23=0,(F13*$B33),(F13*$B33*(1+'Inputs - Products'!$B$23))),0)</f>
        <v>0</v>
      </c>
      <c r="G33" s="55">
        <f>IF(G23&gt;0,IF('Inputs - Products'!$B$23=0,(G13*$B33),(G13*$B33*(1+'Inputs - Products'!$B$23))),0)</f>
        <v>0</v>
      </c>
      <c r="H33" s="55">
        <f>IF(H23&gt;0,IF('Inputs - Products'!$B$23=0,(H13*$B33),(H13*$B33*(1+'Inputs - Products'!$B$23))),0)</f>
        <v>0</v>
      </c>
      <c r="I33" s="55">
        <f>IF(I23&gt;0,IF('Inputs - Products'!$B$23=0,(I13*$B33),(I13*$B33*(1+'Inputs - Products'!$B$23))),0)</f>
        <v>0</v>
      </c>
      <c r="J33" s="55">
        <f>IF(J23&gt;0,IF('Inputs - Products'!$B$23=0,(J13*$B33),(J13*$B33*(1+'Inputs - Products'!$B$23))),0)</f>
        <v>0</v>
      </c>
      <c r="K33" s="55">
        <f>IF(K23&gt;0,IF('Inputs - Products'!$B$23=0,(K13*$B33),(K13*$B33*(1+'Inputs - Products'!$B$23))),0)</f>
        <v>0</v>
      </c>
      <c r="L33" s="55">
        <f>IF(L23&gt;0,IF('Inputs - Products'!$B$23=0,(L13*$B33),(L13*$B33*(1+'Inputs - Products'!$B$23))),0)</f>
        <v>0</v>
      </c>
      <c r="M33" s="55">
        <f>IF(M23&gt;0,IF('Inputs - Products'!$B$23=0,(M13*$B33),(M13*$B33*(1+'Inputs - Products'!$B$23))),0)</f>
        <v>0</v>
      </c>
      <c r="N33" s="55">
        <f>IF(N23&gt;0,IF('Inputs - Products'!$B$23=0,(N13*$B33),(N13*$B33*(1+'Inputs - Products'!$B$23))),0)</f>
        <v>0</v>
      </c>
      <c r="O33" s="55">
        <f>IF(O23&gt;0,IF('Inputs - Products'!$B$23=0,(O13*$B33),(O13*$B33*(1+'Inputs - Products'!$B$23))),0)</f>
        <v>0</v>
      </c>
      <c r="P33" s="55">
        <f>IF(P23&gt;0,IF('Inputs - Products'!$B$23=0,(P13*$B33),(P13*$B33*(1+'Inputs - Products'!$B$23))),0)</f>
        <v>0</v>
      </c>
      <c r="Q33" s="55">
        <f>IF(Q23&gt;0,IF('Inputs - Products'!$B$23=0,(Q13*$B33),(Q13*$B33*(1+'Inputs - Products'!$B$23))),0)</f>
        <v>0</v>
      </c>
      <c r="R33" s="55">
        <f>IF(R23&gt;0,IF('Inputs - Products'!$B$23=0,(R13*$B33),(R13*$B33*(1+'Inputs - Products'!$B$23))),0)</f>
        <v>0</v>
      </c>
      <c r="S33" s="55">
        <f>IF(S23&gt;0,IF('Inputs - Products'!$B$23=0,(S13*$B33),(S13*$B33*(1+'Inputs - Products'!$B$23))),0)</f>
        <v>0</v>
      </c>
      <c r="T33" s="55">
        <f>IF(T23&gt;0,IF('Inputs - Products'!$B$23=0,(T13*$B33),(T13*$B33*(1+'Inputs - Products'!$B$23))),0)</f>
        <v>0</v>
      </c>
      <c r="U33" s="55">
        <f>IF(U23&gt;0,IF('Inputs - Products'!$B$23=0,(U13*$B33),(U13*$B33*(1+'Inputs - Products'!$B$23))),0)</f>
        <v>0</v>
      </c>
      <c r="V33" s="55">
        <f>IF(V23&gt;0,IF('Inputs - Products'!$B$23=0,(V13*$B33),(V13*$B33*(1+'Inputs - Products'!$B$23))),0)</f>
        <v>0</v>
      </c>
      <c r="W33" s="55">
        <f>IF(W23&gt;0,IF('Inputs - Products'!$B$23=0,(W13*$B33),(W13*$B33*(1+'Inputs - Products'!$B$23))),0)</f>
        <v>0</v>
      </c>
      <c r="X33" s="55">
        <f>IF(X23&gt;0,IF('Inputs - Products'!$B$23=0,(X13*$B33),(X13*$B33*(1+'Inputs - Products'!$B$23))),0)</f>
        <v>0</v>
      </c>
      <c r="Y33" s="55">
        <f>IF(Y23&gt;0,IF('Inputs - Products'!$B$23=0,(Y13*$B33),(Y13*$B33*(1+'Inputs - Products'!$B$23))),0)</f>
        <v>0</v>
      </c>
      <c r="Z33" s="55">
        <f>IF(Z23&gt;0,IF('Inputs - Products'!$B$23=0,(Z13*$B33),(Z13*$B33*(1+'Inputs - Products'!$B$23))),0)</f>
        <v>0</v>
      </c>
      <c r="AA33" s="55">
        <f>IF(AA23&gt;0,IF('Inputs - Products'!$B$23=0,(AA13*$B33),(AA13*$B33*(1+'Inputs - Products'!$B$23))),0)</f>
        <v>0</v>
      </c>
      <c r="AB33" s="55">
        <f>IF(AB23&gt;0,IF('Inputs - Products'!$B$23=0,(AB13*$B33),(AB13*$B33*(1+'Inputs - Products'!$B$23))),0)</f>
        <v>0</v>
      </c>
      <c r="AC33" s="55">
        <f>IF(AC23&gt;0,IF('Inputs - Products'!$B$23=0,(AC13*$B33),(AC13*$B33*(1+'Inputs - Products'!$B$23))),0)</f>
        <v>0</v>
      </c>
      <c r="AD33" s="55">
        <f>IF(AD23&gt;0,IF('Inputs - Products'!$B$23=0,(AD13*$B33),(AD13*$B33*(1+'Inputs - Products'!$B$23))),0)</f>
        <v>0</v>
      </c>
      <c r="AE33" s="55">
        <f>IF(AE23&gt;0,IF('Inputs - Products'!$B$23=0,(AE13*$B33),(AE13*$B33*(1+'Inputs - Products'!$B$23))),0)</f>
        <v>0</v>
      </c>
      <c r="AF33" s="55">
        <f>IF(AF23&gt;0,IF('Inputs - Products'!$B$23=0,(AF13*$B33),(AF13*$B33*(1+'Inputs - Products'!$B$23))),0)</f>
        <v>0</v>
      </c>
      <c r="AG33" s="55">
        <f>IF(AG23&gt;0,IF('Inputs - Products'!$B$23=0,(AG13*$B33),(AG13*$B33*(1+'Inputs - Products'!$B$23))),0)</f>
        <v>0</v>
      </c>
      <c r="AH33" s="55">
        <f>IF(AH23&gt;0,IF('Inputs - Products'!$B$23=0,(AH13*$B33),(AH13*$B33*(1+'Inputs - Products'!$B$23))),0)</f>
        <v>0</v>
      </c>
      <c r="AI33" s="55">
        <f>IF(AI23&gt;0,IF('Inputs - Products'!$B$23=0,(AI13*$B33),(AI13*$B33*(1+'Inputs - Products'!$B$23))),0)</f>
        <v>0</v>
      </c>
      <c r="AJ33" s="55">
        <f>IF(AJ23&gt;0,IF('Inputs - Products'!$B$23=0,(AJ13*$B33),(AJ13*$B33*(1+'Inputs - Products'!$B$23))),0)</f>
        <v>0</v>
      </c>
      <c r="AK33" s="55">
        <f>IF(AK23&gt;0,IF('Inputs - Products'!$B$23=0,(AK13*$B33),(AK13*$B33*(1+'Inputs - Products'!$B$23))),0)</f>
        <v>0</v>
      </c>
      <c r="AL33" s="55">
        <f>IF(AL23&gt;0,IF('Inputs - Products'!$B$23=0,(AL13*$B33),(AL13*$B33*(1+'Inputs - Products'!$B$23))),0)</f>
        <v>0</v>
      </c>
      <c r="AM33" s="55">
        <f>IF(AM23&gt;0,IF('Inputs - Products'!$B$23=0,(AM13*$B33),(AM13*$B33*(1+'Inputs - Products'!$B$23))),0)</f>
        <v>0</v>
      </c>
    </row>
    <row r="34" spans="1:39" ht="12" customHeight="1" outlineLevel="1">
      <c r="A34" s="44" t="str">
        <f t="shared" si="2"/>
        <v>Product 6</v>
      </c>
      <c r="B34" s="38">
        <f>'Inputs - Products'!P13</f>
        <v>0</v>
      </c>
      <c r="C34" s="54"/>
      <c r="D34" s="55">
        <f>IF(D24&gt;0,IF('Inputs - Products'!$B$23=0,(D14*$B34),(D14*$B34*(1+'Inputs - Products'!$B$23))),0)</f>
        <v>0</v>
      </c>
      <c r="E34" s="55">
        <f>IF(E24&gt;0,IF('Inputs - Products'!$B$23=0,(E14*$B34),(E14*$B34*(1+'Inputs - Products'!$B$23))),0)</f>
        <v>0</v>
      </c>
      <c r="F34" s="55">
        <f>IF(F24&gt;0,IF('Inputs - Products'!$B$23=0,(F14*$B34),(F14*$B34*(1+'Inputs - Products'!$B$23))),0)</f>
        <v>0</v>
      </c>
      <c r="G34" s="55">
        <f>IF(G24&gt;0,IF('Inputs - Products'!$B$23=0,(G14*$B34),(G14*$B34*(1+'Inputs - Products'!$B$23))),0)</f>
        <v>0</v>
      </c>
      <c r="H34" s="55">
        <f>IF(H24&gt;0,IF('Inputs - Products'!$B$23=0,(H14*$B34),(H14*$B34*(1+'Inputs - Products'!$B$23))),0)</f>
        <v>0</v>
      </c>
      <c r="I34" s="55">
        <f>IF(I24&gt;0,IF('Inputs - Products'!$B$23=0,(I14*$B34),(I14*$B34*(1+'Inputs - Products'!$B$23))),0)</f>
        <v>0</v>
      </c>
      <c r="J34" s="55">
        <f>IF(J24&gt;0,IF('Inputs - Products'!$B$23=0,(J14*$B34),(J14*$B34*(1+'Inputs - Products'!$B$23))),0)</f>
        <v>0</v>
      </c>
      <c r="K34" s="55">
        <f>IF(K24&gt;0,IF('Inputs - Products'!$B$23=0,(K14*$B34),(K14*$B34*(1+'Inputs - Products'!$B$23))),0)</f>
        <v>0</v>
      </c>
      <c r="L34" s="55">
        <f>IF(L24&gt;0,IF('Inputs - Products'!$B$23=0,(L14*$B34),(L14*$B34*(1+'Inputs - Products'!$B$23))),0)</f>
        <v>0</v>
      </c>
      <c r="M34" s="55">
        <f>IF(M24&gt;0,IF('Inputs - Products'!$B$23=0,(M14*$B34),(M14*$B34*(1+'Inputs - Products'!$B$23))),0)</f>
        <v>0</v>
      </c>
      <c r="N34" s="55">
        <f>IF(N24&gt;0,IF('Inputs - Products'!$B$23=0,(N14*$B34),(N14*$B34*(1+'Inputs - Products'!$B$23))),0)</f>
        <v>0</v>
      </c>
      <c r="O34" s="55">
        <f>IF(O24&gt;0,IF('Inputs - Products'!$B$23=0,(O14*$B34),(O14*$B34*(1+'Inputs - Products'!$B$23))),0)</f>
        <v>0</v>
      </c>
      <c r="P34" s="55">
        <f>IF(P24&gt;0,IF('Inputs - Products'!$B$23=0,(P14*$B34),(P14*$B34*(1+'Inputs - Products'!$B$23))),0)</f>
        <v>0</v>
      </c>
      <c r="Q34" s="55">
        <f>IF(Q24&gt;0,IF('Inputs - Products'!$B$23=0,(Q14*$B34),(Q14*$B34*(1+'Inputs - Products'!$B$23))),0)</f>
        <v>0</v>
      </c>
      <c r="R34" s="55">
        <f>IF(R24&gt;0,IF('Inputs - Products'!$B$23=0,(R14*$B34),(R14*$B34*(1+'Inputs - Products'!$B$23))),0)</f>
        <v>0</v>
      </c>
      <c r="S34" s="55">
        <f>IF(S24&gt;0,IF('Inputs - Products'!$B$23=0,(S14*$B34),(S14*$B34*(1+'Inputs - Products'!$B$23))),0)</f>
        <v>0</v>
      </c>
      <c r="T34" s="55">
        <f>IF(T24&gt;0,IF('Inputs - Products'!$B$23=0,(T14*$B34),(T14*$B34*(1+'Inputs - Products'!$B$23))),0)</f>
        <v>0</v>
      </c>
      <c r="U34" s="55">
        <f>IF(U24&gt;0,IF('Inputs - Products'!$B$23=0,(U14*$B34),(U14*$B34*(1+'Inputs - Products'!$B$23))),0)</f>
        <v>0</v>
      </c>
      <c r="V34" s="55">
        <f>IF(V24&gt;0,IF('Inputs - Products'!$B$23=0,(V14*$B34),(V14*$B34*(1+'Inputs - Products'!$B$23))),0)</f>
        <v>0</v>
      </c>
      <c r="W34" s="55">
        <f>IF(W24&gt;0,IF('Inputs - Products'!$B$23=0,(W14*$B34),(W14*$B34*(1+'Inputs - Products'!$B$23))),0)</f>
        <v>0</v>
      </c>
      <c r="X34" s="55">
        <f>IF(X24&gt;0,IF('Inputs - Products'!$B$23=0,(X14*$B34),(X14*$B34*(1+'Inputs - Products'!$B$23))),0)</f>
        <v>0</v>
      </c>
      <c r="Y34" s="55">
        <f>IF(Y24&gt;0,IF('Inputs - Products'!$B$23=0,(Y14*$B34),(Y14*$B34*(1+'Inputs - Products'!$B$23))),0)</f>
        <v>0</v>
      </c>
      <c r="Z34" s="55">
        <f>IF(Z24&gt;0,IF('Inputs - Products'!$B$23=0,(Z14*$B34),(Z14*$B34*(1+'Inputs - Products'!$B$23))),0)</f>
        <v>0</v>
      </c>
      <c r="AA34" s="55">
        <f>IF(AA24&gt;0,IF('Inputs - Products'!$B$23=0,(AA14*$B34),(AA14*$B34*(1+'Inputs - Products'!$B$23))),0)</f>
        <v>0</v>
      </c>
      <c r="AB34" s="55">
        <f>IF(AB24&gt;0,IF('Inputs - Products'!$B$23=0,(AB14*$B34),(AB14*$B34*(1+'Inputs - Products'!$B$23))),0)</f>
        <v>0</v>
      </c>
      <c r="AC34" s="55">
        <f>IF(AC24&gt;0,IF('Inputs - Products'!$B$23=0,(AC14*$B34),(AC14*$B34*(1+'Inputs - Products'!$B$23))),0)</f>
        <v>0</v>
      </c>
      <c r="AD34" s="55">
        <f>IF(AD24&gt;0,IF('Inputs - Products'!$B$23=0,(AD14*$B34),(AD14*$B34*(1+'Inputs - Products'!$B$23))),0)</f>
        <v>0</v>
      </c>
      <c r="AE34" s="55">
        <f>IF(AE24&gt;0,IF('Inputs - Products'!$B$23=0,(AE14*$B34),(AE14*$B34*(1+'Inputs - Products'!$B$23))),0)</f>
        <v>0</v>
      </c>
      <c r="AF34" s="55">
        <f>IF(AF24&gt;0,IF('Inputs - Products'!$B$23=0,(AF14*$B34),(AF14*$B34*(1+'Inputs - Products'!$B$23))),0)</f>
        <v>0</v>
      </c>
      <c r="AG34" s="55">
        <f>IF(AG24&gt;0,IF('Inputs - Products'!$B$23=0,(AG14*$B34),(AG14*$B34*(1+'Inputs - Products'!$B$23))),0)</f>
        <v>0</v>
      </c>
      <c r="AH34" s="55">
        <f>IF(AH24&gt;0,IF('Inputs - Products'!$B$23=0,(AH14*$B34),(AH14*$B34*(1+'Inputs - Products'!$B$23))),0)</f>
        <v>0</v>
      </c>
      <c r="AI34" s="55">
        <f>IF(AI24&gt;0,IF('Inputs - Products'!$B$23=0,(AI14*$B34),(AI14*$B34*(1+'Inputs - Products'!$B$23))),0)</f>
        <v>0</v>
      </c>
      <c r="AJ34" s="55">
        <f>IF(AJ24&gt;0,IF('Inputs - Products'!$B$23=0,(AJ14*$B34),(AJ14*$B34*(1+'Inputs - Products'!$B$23))),0)</f>
        <v>0</v>
      </c>
      <c r="AK34" s="55">
        <f>IF(AK24&gt;0,IF('Inputs - Products'!$B$23=0,(AK14*$B34),(AK14*$B34*(1+'Inputs - Products'!$B$23))),0)</f>
        <v>0</v>
      </c>
      <c r="AL34" s="55">
        <f>IF(AL24&gt;0,IF('Inputs - Products'!$B$23=0,(AL14*$B34),(AL14*$B34*(1+'Inputs - Products'!$B$23))),0)</f>
        <v>0</v>
      </c>
      <c r="AM34" s="55">
        <f>IF(AM24&gt;0,IF('Inputs - Products'!$B$23=0,(AM14*$B34),(AM14*$B34*(1+'Inputs - Products'!$B$23))),0)</f>
        <v>0</v>
      </c>
    </row>
    <row r="35" spans="1:39" ht="12" customHeight="1">
      <c r="A35" s="88" t="s">
        <v>95</v>
      </c>
      <c r="B35" s="89"/>
      <c r="C35" s="90"/>
      <c r="D35" s="90">
        <f t="shared" ref="D35:AM35" si="3">SUM(D29:D34)</f>
        <v>0</v>
      </c>
      <c r="E35" s="90">
        <f t="shared" si="3"/>
        <v>0</v>
      </c>
      <c r="F35" s="90">
        <f t="shared" si="3"/>
        <v>0</v>
      </c>
      <c r="G35" s="90">
        <f t="shared" si="3"/>
        <v>0</v>
      </c>
      <c r="H35" s="90">
        <f t="shared" si="3"/>
        <v>0</v>
      </c>
      <c r="I35" s="90">
        <f t="shared" si="3"/>
        <v>0</v>
      </c>
      <c r="J35" s="90">
        <f t="shared" si="3"/>
        <v>5260</v>
      </c>
      <c r="K35" s="90">
        <f t="shared" si="3"/>
        <v>0</v>
      </c>
      <c r="L35" s="90">
        <f t="shared" si="3"/>
        <v>5260</v>
      </c>
      <c r="M35" s="90">
        <f t="shared" si="3"/>
        <v>0</v>
      </c>
      <c r="N35" s="90">
        <f t="shared" si="3"/>
        <v>5260</v>
      </c>
      <c r="O35" s="90">
        <f t="shared" si="3"/>
        <v>0</v>
      </c>
      <c r="P35" s="90">
        <f t="shared" si="3"/>
        <v>5260</v>
      </c>
      <c r="Q35" s="90">
        <f t="shared" si="3"/>
        <v>0</v>
      </c>
      <c r="R35" s="90">
        <f t="shared" si="3"/>
        <v>5260</v>
      </c>
      <c r="S35" s="90">
        <f t="shared" si="3"/>
        <v>0</v>
      </c>
      <c r="T35" s="90">
        <f t="shared" si="3"/>
        <v>5260</v>
      </c>
      <c r="U35" s="90">
        <f t="shared" si="3"/>
        <v>0</v>
      </c>
      <c r="V35" s="90">
        <f t="shared" si="3"/>
        <v>5260</v>
      </c>
      <c r="W35" s="90">
        <f t="shared" si="3"/>
        <v>0</v>
      </c>
      <c r="X35" s="90">
        <f t="shared" si="3"/>
        <v>5260</v>
      </c>
      <c r="Y35" s="90">
        <f t="shared" si="3"/>
        <v>0</v>
      </c>
      <c r="Z35" s="90">
        <f t="shared" si="3"/>
        <v>5260</v>
      </c>
      <c r="AA35" s="90">
        <f t="shared" si="3"/>
        <v>0</v>
      </c>
      <c r="AB35" s="90">
        <f t="shared" si="3"/>
        <v>5260</v>
      </c>
      <c r="AC35" s="90">
        <f t="shared" si="3"/>
        <v>10520</v>
      </c>
      <c r="AD35" s="90">
        <f t="shared" si="3"/>
        <v>5260</v>
      </c>
      <c r="AE35" s="90">
        <f t="shared" si="3"/>
        <v>10520</v>
      </c>
      <c r="AF35" s="90">
        <f t="shared" si="3"/>
        <v>5260</v>
      </c>
      <c r="AG35" s="90">
        <f t="shared" si="3"/>
        <v>5260</v>
      </c>
      <c r="AH35" s="90">
        <f t="shared" si="3"/>
        <v>5260</v>
      </c>
      <c r="AI35" s="90">
        <f t="shared" si="3"/>
        <v>10520</v>
      </c>
      <c r="AJ35" s="90">
        <f t="shared" si="3"/>
        <v>5260</v>
      </c>
      <c r="AK35" s="90">
        <f t="shared" si="3"/>
        <v>5260</v>
      </c>
      <c r="AL35" s="90">
        <f t="shared" si="3"/>
        <v>5260</v>
      </c>
      <c r="AM35" s="90">
        <f t="shared" si="3"/>
        <v>5260</v>
      </c>
    </row>
    <row r="36" spans="1:39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spans="1:39" ht="12" customHeight="1">
      <c r="A37" s="88" t="s">
        <v>96</v>
      </c>
      <c r="B37" s="91"/>
      <c r="C37" s="90"/>
      <c r="D37" s="90">
        <f t="shared" ref="D37:AM37" si="4">D25-D35</f>
        <v>0</v>
      </c>
      <c r="E37" s="90">
        <f t="shared" si="4"/>
        <v>0</v>
      </c>
      <c r="F37" s="90">
        <f t="shared" si="4"/>
        <v>0</v>
      </c>
      <c r="G37" s="90">
        <f t="shared" si="4"/>
        <v>0</v>
      </c>
      <c r="H37" s="90">
        <f t="shared" si="4"/>
        <v>0</v>
      </c>
      <c r="I37" s="90">
        <f t="shared" si="4"/>
        <v>0</v>
      </c>
      <c r="J37" s="90">
        <f t="shared" si="4"/>
        <v>18740</v>
      </c>
      <c r="K37" s="90">
        <f t="shared" si="4"/>
        <v>0</v>
      </c>
      <c r="L37" s="90">
        <f t="shared" si="4"/>
        <v>18740</v>
      </c>
      <c r="M37" s="90">
        <f t="shared" si="4"/>
        <v>0</v>
      </c>
      <c r="N37" s="90">
        <f t="shared" si="4"/>
        <v>18740</v>
      </c>
      <c r="O37" s="90">
        <f t="shared" si="4"/>
        <v>0</v>
      </c>
      <c r="P37" s="90">
        <f t="shared" si="4"/>
        <v>18740</v>
      </c>
      <c r="Q37" s="90">
        <f t="shared" si="4"/>
        <v>0</v>
      </c>
      <c r="R37" s="90">
        <f t="shared" si="4"/>
        <v>18740</v>
      </c>
      <c r="S37" s="90">
        <f t="shared" si="4"/>
        <v>0</v>
      </c>
      <c r="T37" s="90">
        <f t="shared" si="4"/>
        <v>18740</v>
      </c>
      <c r="U37" s="90">
        <f t="shared" si="4"/>
        <v>0</v>
      </c>
      <c r="V37" s="90">
        <f t="shared" si="4"/>
        <v>18740</v>
      </c>
      <c r="W37" s="90">
        <f t="shared" si="4"/>
        <v>0</v>
      </c>
      <c r="X37" s="90">
        <f t="shared" si="4"/>
        <v>18740</v>
      </c>
      <c r="Y37" s="90">
        <f t="shared" si="4"/>
        <v>0</v>
      </c>
      <c r="Z37" s="90">
        <f t="shared" si="4"/>
        <v>18740</v>
      </c>
      <c r="AA37" s="90">
        <f t="shared" si="4"/>
        <v>0</v>
      </c>
      <c r="AB37" s="90">
        <f t="shared" si="4"/>
        <v>18740</v>
      </c>
      <c r="AC37" s="90">
        <f t="shared" si="4"/>
        <v>37480</v>
      </c>
      <c r="AD37" s="90">
        <f t="shared" si="4"/>
        <v>18740</v>
      </c>
      <c r="AE37" s="90">
        <f t="shared" si="4"/>
        <v>37480</v>
      </c>
      <c r="AF37" s="90">
        <f t="shared" si="4"/>
        <v>18740</v>
      </c>
      <c r="AG37" s="90">
        <f t="shared" si="4"/>
        <v>18740</v>
      </c>
      <c r="AH37" s="90">
        <f t="shared" si="4"/>
        <v>18740</v>
      </c>
      <c r="AI37" s="90">
        <f t="shared" si="4"/>
        <v>37480</v>
      </c>
      <c r="AJ37" s="90">
        <f t="shared" si="4"/>
        <v>18740</v>
      </c>
      <c r="AK37" s="90">
        <f t="shared" si="4"/>
        <v>18740</v>
      </c>
      <c r="AL37" s="90">
        <f t="shared" si="4"/>
        <v>18740</v>
      </c>
      <c r="AM37" s="90">
        <f t="shared" si="4"/>
        <v>18740</v>
      </c>
    </row>
    <row r="38" spans="1:39" ht="12" customHeight="1">
      <c r="A38" s="92" t="s">
        <v>97</v>
      </c>
      <c r="B38" s="93"/>
      <c r="C38" s="94"/>
      <c r="D38" s="94">
        <f t="shared" ref="D38:AM38" si="5">IFERROR(D37/D25,0)</f>
        <v>0</v>
      </c>
      <c r="E38" s="94">
        <f t="shared" si="5"/>
        <v>0</v>
      </c>
      <c r="F38" s="94">
        <f t="shared" si="5"/>
        <v>0</v>
      </c>
      <c r="G38" s="94">
        <f t="shared" si="5"/>
        <v>0</v>
      </c>
      <c r="H38" s="94">
        <f t="shared" si="5"/>
        <v>0</v>
      </c>
      <c r="I38" s="94">
        <f t="shared" si="5"/>
        <v>0</v>
      </c>
      <c r="J38" s="94">
        <f t="shared" si="5"/>
        <v>0.78083333333333338</v>
      </c>
      <c r="K38" s="94">
        <f t="shared" si="5"/>
        <v>0</v>
      </c>
      <c r="L38" s="94">
        <f t="shared" si="5"/>
        <v>0.78083333333333338</v>
      </c>
      <c r="M38" s="94">
        <f t="shared" si="5"/>
        <v>0</v>
      </c>
      <c r="N38" s="94">
        <f t="shared" si="5"/>
        <v>0.78083333333333338</v>
      </c>
      <c r="O38" s="94">
        <f t="shared" si="5"/>
        <v>0</v>
      </c>
      <c r="P38" s="94">
        <f t="shared" si="5"/>
        <v>0.78083333333333338</v>
      </c>
      <c r="Q38" s="94">
        <f t="shared" si="5"/>
        <v>0</v>
      </c>
      <c r="R38" s="94">
        <f t="shared" si="5"/>
        <v>0.78083333333333338</v>
      </c>
      <c r="S38" s="94">
        <f t="shared" si="5"/>
        <v>0</v>
      </c>
      <c r="T38" s="94">
        <f t="shared" si="5"/>
        <v>0.78083333333333338</v>
      </c>
      <c r="U38" s="94">
        <f t="shared" si="5"/>
        <v>0</v>
      </c>
      <c r="V38" s="94">
        <f t="shared" si="5"/>
        <v>0.78083333333333338</v>
      </c>
      <c r="W38" s="94">
        <f t="shared" si="5"/>
        <v>0</v>
      </c>
      <c r="X38" s="94">
        <f t="shared" si="5"/>
        <v>0.78083333333333338</v>
      </c>
      <c r="Y38" s="94">
        <f t="shared" si="5"/>
        <v>0</v>
      </c>
      <c r="Z38" s="94">
        <f t="shared" si="5"/>
        <v>0.78083333333333338</v>
      </c>
      <c r="AA38" s="94">
        <f t="shared" si="5"/>
        <v>0</v>
      </c>
      <c r="AB38" s="94">
        <f t="shared" si="5"/>
        <v>0.78083333333333338</v>
      </c>
      <c r="AC38" s="94">
        <f t="shared" si="5"/>
        <v>0.78083333333333338</v>
      </c>
      <c r="AD38" s="94">
        <f t="shared" si="5"/>
        <v>0.78083333333333338</v>
      </c>
      <c r="AE38" s="94">
        <f t="shared" si="5"/>
        <v>0.78083333333333338</v>
      </c>
      <c r="AF38" s="94">
        <f t="shared" si="5"/>
        <v>0.78083333333333338</v>
      </c>
      <c r="AG38" s="94">
        <f t="shared" si="5"/>
        <v>0.78083333333333338</v>
      </c>
      <c r="AH38" s="94">
        <f t="shared" si="5"/>
        <v>0.78083333333333338</v>
      </c>
      <c r="AI38" s="94">
        <f t="shared" si="5"/>
        <v>0.78083333333333338</v>
      </c>
      <c r="AJ38" s="94">
        <f t="shared" si="5"/>
        <v>0.78083333333333338</v>
      </c>
      <c r="AK38" s="94">
        <f t="shared" si="5"/>
        <v>0.78083333333333338</v>
      </c>
      <c r="AL38" s="94">
        <f t="shared" si="5"/>
        <v>0.78083333333333338</v>
      </c>
      <c r="AM38" s="94">
        <f t="shared" si="5"/>
        <v>0.78083333333333338</v>
      </c>
    </row>
    <row r="39" spans="1: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 spans="1:39" ht="15.75" customHeight="1">
      <c r="A40" s="41" t="s">
        <v>98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 spans="1:39" ht="12" customHeight="1" outlineLevel="1">
      <c r="A41" s="37" t="str">
        <f>'Inputs - Fixed Costs (OpEx)'!A7</f>
        <v>General &amp; Administrative Costs</v>
      </c>
      <c r="B41" s="38"/>
      <c r="C41" s="42"/>
      <c r="D41" s="55">
        <f>IF('Inputs - Products'!$B$24=0,'Inputs - Fixed Costs (OpEx)'!F25,'Inputs - Fixed Costs (OpEx)'!F25*(1+'Inputs - Products'!$B$24))</f>
        <v>4058</v>
      </c>
      <c r="E41" s="55">
        <f>IF('Inputs - Products'!$B$24=0,'Inputs - Fixed Costs (OpEx)'!G25,'Inputs - Fixed Costs (OpEx)'!G25*(1+'Inputs - Products'!$B$24))</f>
        <v>4058</v>
      </c>
      <c r="F41" s="55">
        <f>IF('Inputs - Products'!$B$24=0,'Inputs - Fixed Costs (OpEx)'!H25,'Inputs - Fixed Costs (OpEx)'!H25*(1+'Inputs - Products'!$B$24))</f>
        <v>4058</v>
      </c>
      <c r="G41" s="55">
        <f>IF('Inputs - Products'!$B$24=0,'Inputs - Fixed Costs (OpEx)'!I25,'Inputs - Fixed Costs (OpEx)'!I25*(1+'Inputs - Products'!$B$24))</f>
        <v>4058</v>
      </c>
      <c r="H41" s="55">
        <f>IF('Inputs - Products'!$B$24=0,'Inputs - Fixed Costs (OpEx)'!J25,'Inputs - Fixed Costs (OpEx)'!J25*(1+'Inputs - Products'!$B$24))</f>
        <v>4058</v>
      </c>
      <c r="I41" s="55">
        <f>IF('Inputs - Products'!$B$24=0,'Inputs - Fixed Costs (OpEx)'!K25,'Inputs - Fixed Costs (OpEx)'!K25*(1+'Inputs - Products'!$B$24))</f>
        <v>4058</v>
      </c>
      <c r="J41" s="55">
        <f>IF('Inputs - Products'!$B$24=0,'Inputs - Fixed Costs (OpEx)'!L25,'Inputs - Fixed Costs (OpEx)'!L25*(1+'Inputs - Products'!$B$24))</f>
        <v>4058</v>
      </c>
      <c r="K41" s="55">
        <f>IF('Inputs - Products'!$B$24=0,'Inputs - Fixed Costs (OpEx)'!M25,'Inputs - Fixed Costs (OpEx)'!M25*(1+'Inputs - Products'!$B$24))</f>
        <v>4058</v>
      </c>
      <c r="L41" s="55">
        <f>IF('Inputs - Products'!$B$24=0,'Inputs - Fixed Costs (OpEx)'!N25,'Inputs - Fixed Costs (OpEx)'!N25*(1+'Inputs - Products'!$B$24))</f>
        <v>4058</v>
      </c>
      <c r="M41" s="55">
        <f>IF('Inputs - Products'!$B$24=0,'Inputs - Fixed Costs (OpEx)'!O25,'Inputs - Fixed Costs (OpEx)'!O25*(1+'Inputs - Products'!$B$24))</f>
        <v>4058</v>
      </c>
      <c r="N41" s="55">
        <f>IF('Inputs - Products'!$B$24=0,'Inputs - Fixed Costs (OpEx)'!P25,'Inputs - Fixed Costs (OpEx)'!P25*(1+'Inputs - Products'!$B$24))</f>
        <v>4058</v>
      </c>
      <c r="O41" s="55">
        <f>IF('Inputs - Products'!$B$24=0,'Inputs - Fixed Costs (OpEx)'!Q25,'Inputs - Fixed Costs (OpEx)'!Q25*(1+'Inputs - Products'!$B$24))</f>
        <v>4058</v>
      </c>
      <c r="P41" s="55">
        <f>IF('Inputs - Products'!$B$24=0,'Inputs - Fixed Costs (OpEx)'!R25,'Inputs - Fixed Costs (OpEx)'!R25*(1+'Inputs - Products'!$B$24))</f>
        <v>4002</v>
      </c>
      <c r="Q41" s="55">
        <f>IF('Inputs - Products'!$B$24=0,'Inputs - Fixed Costs (OpEx)'!S25,'Inputs - Fixed Costs (OpEx)'!S25*(1+'Inputs - Products'!$B$24))</f>
        <v>4002</v>
      </c>
      <c r="R41" s="55">
        <f>IF('Inputs - Products'!$B$24=0,'Inputs - Fixed Costs (OpEx)'!T25,'Inputs - Fixed Costs (OpEx)'!T25*(1+'Inputs - Products'!$B$24))</f>
        <v>4002</v>
      </c>
      <c r="S41" s="55">
        <f>IF('Inputs - Products'!$B$24=0,'Inputs - Fixed Costs (OpEx)'!U25,'Inputs - Fixed Costs (OpEx)'!U25*(1+'Inputs - Products'!$B$24))</f>
        <v>4002</v>
      </c>
      <c r="T41" s="55">
        <f>IF('Inputs - Products'!$B$24=0,'Inputs - Fixed Costs (OpEx)'!V25,'Inputs - Fixed Costs (OpEx)'!V25*(1+'Inputs - Products'!$B$24))</f>
        <v>4002</v>
      </c>
      <c r="U41" s="55">
        <f>IF('Inputs - Products'!$B$24=0,'Inputs - Fixed Costs (OpEx)'!W25,'Inputs - Fixed Costs (OpEx)'!W25*(1+'Inputs - Products'!$B$24))</f>
        <v>4002</v>
      </c>
      <c r="V41" s="55">
        <f>IF('Inputs - Products'!$B$24=0,'Inputs - Fixed Costs (OpEx)'!X25,'Inputs - Fixed Costs (OpEx)'!X25*(1+'Inputs - Products'!$B$24))</f>
        <v>4002</v>
      </c>
      <c r="W41" s="55">
        <f>IF('Inputs - Products'!$B$24=0,'Inputs - Fixed Costs (OpEx)'!Y25,'Inputs - Fixed Costs (OpEx)'!Y25*(1+'Inputs - Products'!$B$24))</f>
        <v>4002</v>
      </c>
      <c r="X41" s="55">
        <f>IF('Inputs - Products'!$B$24=0,'Inputs - Fixed Costs (OpEx)'!Z25,'Inputs - Fixed Costs (OpEx)'!Z25*(1+'Inputs - Products'!$B$24))</f>
        <v>4002</v>
      </c>
      <c r="Y41" s="55">
        <f>IF('Inputs - Products'!$B$24=0,'Inputs - Fixed Costs (OpEx)'!AA25,'Inputs - Fixed Costs (OpEx)'!AA25*(1+'Inputs - Products'!$B$24))</f>
        <v>4002</v>
      </c>
      <c r="Z41" s="55">
        <f>IF('Inputs - Products'!$B$24=0,'Inputs - Fixed Costs (OpEx)'!AB25,'Inputs - Fixed Costs (OpEx)'!AB25*(1+'Inputs - Products'!$B$24))</f>
        <v>4002</v>
      </c>
      <c r="AA41" s="55">
        <f>IF('Inputs - Products'!$B$24=0,'Inputs - Fixed Costs (OpEx)'!AC25,'Inputs - Fixed Costs (OpEx)'!AC25*(1+'Inputs - Products'!$B$24))</f>
        <v>4002</v>
      </c>
      <c r="AB41" s="55">
        <f>IF('Inputs - Products'!$B$24=0,'Inputs - Fixed Costs (OpEx)'!AD25,'Inputs - Fixed Costs (OpEx)'!AD25*(1+'Inputs - Products'!$B$24))</f>
        <v>6483</v>
      </c>
      <c r="AC41" s="55">
        <f>IF('Inputs - Products'!$B$24=0,'Inputs - Fixed Costs (OpEx)'!AE25,'Inputs - Fixed Costs (OpEx)'!AE25*(1+'Inputs - Products'!$B$24))</f>
        <v>6483</v>
      </c>
      <c r="AD41" s="55">
        <f>IF('Inputs - Products'!$B$24=0,'Inputs - Fixed Costs (OpEx)'!AF25,'Inputs - Fixed Costs (OpEx)'!AF25*(1+'Inputs - Products'!$B$24))</f>
        <v>6483</v>
      </c>
      <c r="AE41" s="55">
        <f>IF('Inputs - Products'!$B$24=0,'Inputs - Fixed Costs (OpEx)'!AG25,'Inputs - Fixed Costs (OpEx)'!AG25*(1+'Inputs - Products'!$B$24))</f>
        <v>6483</v>
      </c>
      <c r="AF41" s="55">
        <f>IF('Inputs - Products'!$B$24=0,'Inputs - Fixed Costs (OpEx)'!AH25,'Inputs - Fixed Costs (OpEx)'!AH25*(1+'Inputs - Products'!$B$24))</f>
        <v>6483</v>
      </c>
      <c r="AG41" s="55">
        <f>IF('Inputs - Products'!$B$24=0,'Inputs - Fixed Costs (OpEx)'!AI25,'Inputs - Fixed Costs (OpEx)'!AI25*(1+'Inputs - Products'!$B$24))</f>
        <v>6483</v>
      </c>
      <c r="AH41" s="55">
        <f>IF('Inputs - Products'!$B$24=0,'Inputs - Fixed Costs (OpEx)'!AJ25,'Inputs - Fixed Costs (OpEx)'!AJ25*(1+'Inputs - Products'!$B$24))</f>
        <v>6483</v>
      </c>
      <c r="AI41" s="55">
        <f>IF('Inputs - Products'!$B$24=0,'Inputs - Fixed Costs (OpEx)'!AK25,'Inputs - Fixed Costs (OpEx)'!AK25*(1+'Inputs - Products'!$B$24))</f>
        <v>6483</v>
      </c>
      <c r="AJ41" s="55">
        <f>IF('Inputs - Products'!$B$24=0,'Inputs - Fixed Costs (OpEx)'!AL25,'Inputs - Fixed Costs (OpEx)'!AL25*(1+'Inputs - Products'!$B$24))</f>
        <v>6483</v>
      </c>
      <c r="AK41" s="55">
        <f>IF('Inputs - Products'!$B$24=0,'Inputs - Fixed Costs (OpEx)'!AM25,'Inputs - Fixed Costs (OpEx)'!AM25*(1+'Inputs - Products'!$B$24))</f>
        <v>6483</v>
      </c>
      <c r="AL41" s="55">
        <f>IF('Inputs - Products'!$B$24=0,'Inputs - Fixed Costs (OpEx)'!AN25,'Inputs - Fixed Costs (OpEx)'!AN25*(1+'Inputs - Products'!$B$24))</f>
        <v>6483</v>
      </c>
      <c r="AM41" s="55">
        <f>IF('Inputs - Products'!$B$24=0,'Inputs - Fixed Costs (OpEx)'!AO25,'Inputs - Fixed Costs (OpEx)'!AO25*(1+'Inputs - Products'!$B$24))</f>
        <v>6483</v>
      </c>
    </row>
    <row r="42" spans="1:39" ht="12" customHeight="1" outlineLevel="1">
      <c r="A42" s="37" t="str">
        <f>'Inputs - Fixed Costs (OpEx)'!A27</f>
        <v>Staff Costs</v>
      </c>
      <c r="B42" s="38"/>
      <c r="C42" s="42"/>
      <c r="D42" s="55">
        <f>IF('Inputs - Products'!$B$24=0,'Inputs - Fixed Costs (OpEx)'!F42,'Inputs - Fixed Costs (OpEx)'!F42*(1+'Inputs - Products'!$B$24))</f>
        <v>0</v>
      </c>
      <c r="E42" s="55">
        <f>IF('Inputs - Products'!$B$24=0,'Inputs - Fixed Costs (OpEx)'!G42,'Inputs - Fixed Costs (OpEx)'!G42*(1+'Inputs - Products'!$B$24))</f>
        <v>13081.6</v>
      </c>
      <c r="F42" s="55">
        <f>IF('Inputs - Products'!$B$24=0,'Inputs - Fixed Costs (OpEx)'!H42,'Inputs - Fixed Costs (OpEx)'!H42*(1+'Inputs - Products'!$B$24))</f>
        <v>13081.6</v>
      </c>
      <c r="G42" s="55">
        <f>IF('Inputs - Products'!$B$24=0,'Inputs - Fixed Costs (OpEx)'!I42,'Inputs - Fixed Costs (OpEx)'!I42*(1+'Inputs - Products'!$B$24))</f>
        <v>13081.6</v>
      </c>
      <c r="H42" s="55">
        <f>IF('Inputs - Products'!$B$24=0,'Inputs - Fixed Costs (OpEx)'!J42,'Inputs - Fixed Costs (OpEx)'!J42*(1+'Inputs - Products'!$B$24))</f>
        <v>13081.6</v>
      </c>
      <c r="I42" s="55">
        <f>IF('Inputs - Products'!$B$24=0,'Inputs - Fixed Costs (OpEx)'!K42,'Inputs - Fixed Costs (OpEx)'!K42*(1+'Inputs - Products'!$B$24))</f>
        <v>13081.6</v>
      </c>
      <c r="J42" s="55">
        <f>IF('Inputs - Products'!$B$24=0,'Inputs - Fixed Costs (OpEx)'!L42,'Inputs - Fixed Costs (OpEx)'!L42*(1+'Inputs - Products'!$B$24))</f>
        <v>13081.6</v>
      </c>
      <c r="K42" s="55">
        <f>IF('Inputs - Products'!$B$24=0,'Inputs - Fixed Costs (OpEx)'!M42,'Inputs - Fixed Costs (OpEx)'!M42*(1+'Inputs - Products'!$B$24))</f>
        <v>13081.6</v>
      </c>
      <c r="L42" s="55">
        <f>IF('Inputs - Products'!$B$24=0,'Inputs - Fixed Costs (OpEx)'!N42,'Inputs - Fixed Costs (OpEx)'!N42*(1+'Inputs - Products'!$B$24))</f>
        <v>13081.6</v>
      </c>
      <c r="M42" s="55">
        <f>IF('Inputs - Products'!$B$24=0,'Inputs - Fixed Costs (OpEx)'!O42,'Inputs - Fixed Costs (OpEx)'!O42*(1+'Inputs - Products'!$B$24))</f>
        <v>13081.6</v>
      </c>
      <c r="N42" s="55">
        <f>IF('Inputs - Products'!$B$24=0,'Inputs - Fixed Costs (OpEx)'!P42,'Inputs - Fixed Costs (OpEx)'!P42*(1+'Inputs - Products'!$B$24))</f>
        <v>13081.6</v>
      </c>
      <c r="O42" s="55">
        <f>IF('Inputs - Products'!$B$24=0,'Inputs - Fixed Costs (OpEx)'!Q42,'Inputs - Fixed Costs (OpEx)'!Q42*(1+'Inputs - Products'!$B$24))</f>
        <v>13081.6</v>
      </c>
      <c r="P42" s="55">
        <f>IF('Inputs - Products'!$B$24=0,'Inputs - Fixed Costs (OpEx)'!R42,'Inputs - Fixed Costs (OpEx)'!R42*(1+'Inputs - Products'!$B$24))</f>
        <v>13081.6</v>
      </c>
      <c r="Q42" s="55">
        <f>IF('Inputs - Products'!$B$24=0,'Inputs - Fixed Costs (OpEx)'!S42,'Inputs - Fixed Costs (OpEx)'!S42*(1+'Inputs - Products'!$B$24))</f>
        <v>13081.6</v>
      </c>
      <c r="R42" s="55">
        <f>IF('Inputs - Products'!$B$24=0,'Inputs - Fixed Costs (OpEx)'!T42,'Inputs - Fixed Costs (OpEx)'!T42*(1+'Inputs - Products'!$B$24))</f>
        <v>13081.6</v>
      </c>
      <c r="S42" s="55">
        <f>IF('Inputs - Products'!$B$24=0,'Inputs - Fixed Costs (OpEx)'!U42,'Inputs - Fixed Costs (OpEx)'!U42*(1+'Inputs - Products'!$B$24))</f>
        <v>13081.6</v>
      </c>
      <c r="T42" s="55">
        <f>IF('Inputs - Products'!$B$24=0,'Inputs - Fixed Costs (OpEx)'!V42,'Inputs - Fixed Costs (OpEx)'!V42*(1+'Inputs - Products'!$B$24))</f>
        <v>13081.6</v>
      </c>
      <c r="U42" s="55">
        <f>IF('Inputs - Products'!$B$24=0,'Inputs - Fixed Costs (OpEx)'!W42,'Inputs - Fixed Costs (OpEx)'!W42*(1+'Inputs - Products'!$B$24))</f>
        <v>13081.6</v>
      </c>
      <c r="V42" s="55">
        <f>IF('Inputs - Products'!$B$24=0,'Inputs - Fixed Costs (OpEx)'!X42,'Inputs - Fixed Costs (OpEx)'!X42*(1+'Inputs - Products'!$B$24))</f>
        <v>13081.6</v>
      </c>
      <c r="W42" s="55">
        <f>IF('Inputs - Products'!$B$24=0,'Inputs - Fixed Costs (OpEx)'!Y42,'Inputs - Fixed Costs (OpEx)'!Y42*(1+'Inputs - Products'!$B$24))</f>
        <v>13081.6</v>
      </c>
      <c r="X42" s="55">
        <f>IF('Inputs - Products'!$B$24=0,'Inputs - Fixed Costs (OpEx)'!Z42,'Inputs - Fixed Costs (OpEx)'!Z42*(1+'Inputs - Products'!$B$24))</f>
        <v>13081.6</v>
      </c>
      <c r="Y42" s="55">
        <f>IF('Inputs - Products'!$B$24=0,'Inputs - Fixed Costs (OpEx)'!AA42,'Inputs - Fixed Costs (OpEx)'!AA42*(1+'Inputs - Products'!$B$24))</f>
        <v>13081.6</v>
      </c>
      <c r="Z42" s="55">
        <f>IF('Inputs - Products'!$B$24=0,'Inputs - Fixed Costs (OpEx)'!AB42,'Inputs - Fixed Costs (OpEx)'!AB42*(1+'Inputs - Products'!$B$24))</f>
        <v>13081.6</v>
      </c>
      <c r="AA42" s="55">
        <f>IF('Inputs - Products'!$B$24=0,'Inputs - Fixed Costs (OpEx)'!AC42,'Inputs - Fixed Costs (OpEx)'!AC42*(1+'Inputs - Products'!$B$24))</f>
        <v>13081.6</v>
      </c>
      <c r="AB42" s="55">
        <f>IF('Inputs - Products'!$B$24=0,'Inputs - Fixed Costs (OpEx)'!AD42,'Inputs - Fixed Costs (OpEx)'!AD42*(1+'Inputs - Products'!$B$24))</f>
        <v>13081.6</v>
      </c>
      <c r="AC42" s="55">
        <f>IF('Inputs - Products'!$B$24=0,'Inputs - Fixed Costs (OpEx)'!AE42,'Inputs - Fixed Costs (OpEx)'!AE42*(1+'Inputs - Products'!$B$24))</f>
        <v>13081.6</v>
      </c>
      <c r="AD42" s="55">
        <f>IF('Inputs - Products'!$B$24=0,'Inputs - Fixed Costs (OpEx)'!AF42,'Inputs - Fixed Costs (OpEx)'!AF42*(1+'Inputs - Products'!$B$24))</f>
        <v>13081.6</v>
      </c>
      <c r="AE42" s="55">
        <f>IF('Inputs - Products'!$B$24=0,'Inputs - Fixed Costs (OpEx)'!AG42,'Inputs - Fixed Costs (OpEx)'!AG42*(1+'Inputs - Products'!$B$24))</f>
        <v>13081.6</v>
      </c>
      <c r="AF42" s="55">
        <f>IF('Inputs - Products'!$B$24=0,'Inputs - Fixed Costs (OpEx)'!AH42,'Inputs - Fixed Costs (OpEx)'!AH42*(1+'Inputs - Products'!$B$24))</f>
        <v>13081.6</v>
      </c>
      <c r="AG42" s="55">
        <f>IF('Inputs - Products'!$B$24=0,'Inputs - Fixed Costs (OpEx)'!AI42,'Inputs - Fixed Costs (OpEx)'!AI42*(1+'Inputs - Products'!$B$24))</f>
        <v>13081.6</v>
      </c>
      <c r="AH42" s="55">
        <f>IF('Inputs - Products'!$B$24=0,'Inputs - Fixed Costs (OpEx)'!AJ42,'Inputs - Fixed Costs (OpEx)'!AJ42*(1+'Inputs - Products'!$B$24))</f>
        <v>13081.6</v>
      </c>
      <c r="AI42" s="55">
        <f>IF('Inputs - Products'!$B$24=0,'Inputs - Fixed Costs (OpEx)'!AK42,'Inputs - Fixed Costs (OpEx)'!AK42*(1+'Inputs - Products'!$B$24))</f>
        <v>13081.6</v>
      </c>
      <c r="AJ42" s="55">
        <f>IF('Inputs - Products'!$B$24=0,'Inputs - Fixed Costs (OpEx)'!AL42,'Inputs - Fixed Costs (OpEx)'!AL42*(1+'Inputs - Products'!$B$24))</f>
        <v>13081.6</v>
      </c>
      <c r="AK42" s="55">
        <f>IF('Inputs - Products'!$B$24=0,'Inputs - Fixed Costs (OpEx)'!AM42,'Inputs - Fixed Costs (OpEx)'!AM42*(1+'Inputs - Products'!$B$24))</f>
        <v>13081.6</v>
      </c>
      <c r="AL42" s="55">
        <f>IF('Inputs - Products'!$B$24=0,'Inputs - Fixed Costs (OpEx)'!AN42,'Inputs - Fixed Costs (OpEx)'!AN42*(1+'Inputs - Products'!$B$24))</f>
        <v>13081.6</v>
      </c>
      <c r="AM42" s="55">
        <f>IF('Inputs - Products'!$B$24=0,'Inputs - Fixed Costs (OpEx)'!AO42,'Inputs - Fixed Costs (OpEx)'!AO42*(1+'Inputs - Products'!$B$24))</f>
        <v>13081.6</v>
      </c>
    </row>
    <row r="43" spans="1:39" ht="12" customHeight="1" outlineLevel="1">
      <c r="A43" s="37" t="str">
        <f>'Inputs - Fixed Costs (OpEx)'!A44</f>
        <v>Marketing Expenses</v>
      </c>
      <c r="B43" s="38"/>
      <c r="C43" s="42"/>
      <c r="D43" s="55">
        <f>IF('Inputs - Products'!$B$24=0,'Inputs - Fixed Costs (OpEx)'!F57,'Inputs - Fixed Costs (OpEx)'!F57*(1+'Inputs - Products'!$B$24))</f>
        <v>2350</v>
      </c>
      <c r="E43" s="55">
        <f>IF('Inputs - Products'!$B$24=0,'Inputs - Fixed Costs (OpEx)'!G57,'Inputs - Fixed Costs (OpEx)'!G57*(1+'Inputs - Products'!$B$24))</f>
        <v>2350</v>
      </c>
      <c r="F43" s="55">
        <f>IF('Inputs - Products'!$B$24=0,'Inputs - Fixed Costs (OpEx)'!H57,'Inputs - Fixed Costs (OpEx)'!H57*(1+'Inputs - Products'!$B$24))</f>
        <v>2350</v>
      </c>
      <c r="G43" s="55">
        <f>IF('Inputs - Products'!$B$24=0,'Inputs - Fixed Costs (OpEx)'!I57,'Inputs - Fixed Costs (OpEx)'!I57*(1+'Inputs - Products'!$B$24))</f>
        <v>2350</v>
      </c>
      <c r="H43" s="55">
        <f>IF('Inputs - Products'!$B$24=0,'Inputs - Fixed Costs (OpEx)'!J57,'Inputs - Fixed Costs (OpEx)'!J57*(1+'Inputs - Products'!$B$24))</f>
        <v>2350</v>
      </c>
      <c r="I43" s="55">
        <f>IF('Inputs - Products'!$B$24=0,'Inputs - Fixed Costs (OpEx)'!K57,'Inputs - Fixed Costs (OpEx)'!K57*(1+'Inputs - Products'!$B$24))</f>
        <v>2350</v>
      </c>
      <c r="J43" s="55">
        <f>IF('Inputs - Products'!$B$24=0,'Inputs - Fixed Costs (OpEx)'!L57,'Inputs - Fixed Costs (OpEx)'!L57*(1+'Inputs - Products'!$B$24))</f>
        <v>2350</v>
      </c>
      <c r="K43" s="55">
        <f>IF('Inputs - Products'!$B$24=0,'Inputs - Fixed Costs (OpEx)'!M57,'Inputs - Fixed Costs (OpEx)'!M57*(1+'Inputs - Products'!$B$24))</f>
        <v>2350</v>
      </c>
      <c r="L43" s="55">
        <f>IF('Inputs - Products'!$B$24=0,'Inputs - Fixed Costs (OpEx)'!N57,'Inputs - Fixed Costs (OpEx)'!N57*(1+'Inputs - Products'!$B$24))</f>
        <v>2350</v>
      </c>
      <c r="M43" s="55">
        <f>IF('Inputs - Products'!$B$24=0,'Inputs - Fixed Costs (OpEx)'!O57,'Inputs - Fixed Costs (OpEx)'!O57*(1+'Inputs - Products'!$B$24))</f>
        <v>2350</v>
      </c>
      <c r="N43" s="55">
        <f>IF('Inputs - Products'!$B$24=0,'Inputs - Fixed Costs (OpEx)'!P57,'Inputs - Fixed Costs (OpEx)'!P57*(1+'Inputs - Products'!$B$24))</f>
        <v>2350</v>
      </c>
      <c r="O43" s="55">
        <f>IF('Inputs - Products'!$B$24=0,'Inputs - Fixed Costs (OpEx)'!Q57,'Inputs - Fixed Costs (OpEx)'!Q57*(1+'Inputs - Products'!$B$24))</f>
        <v>2350</v>
      </c>
      <c r="P43" s="55">
        <f>IF('Inputs - Products'!$B$24=0,'Inputs - Fixed Costs (OpEx)'!R57,'Inputs - Fixed Costs (OpEx)'!R57*(1+'Inputs - Products'!$B$24))</f>
        <v>4800</v>
      </c>
      <c r="Q43" s="55">
        <f>IF('Inputs - Products'!$B$24=0,'Inputs - Fixed Costs (OpEx)'!S57,'Inputs - Fixed Costs (OpEx)'!S57*(1+'Inputs - Products'!$B$24))</f>
        <v>4800</v>
      </c>
      <c r="R43" s="55">
        <f>IF('Inputs - Products'!$B$24=0,'Inputs - Fixed Costs (OpEx)'!T57,'Inputs - Fixed Costs (OpEx)'!T57*(1+'Inputs - Products'!$B$24))</f>
        <v>4800</v>
      </c>
      <c r="S43" s="55">
        <f>IF('Inputs - Products'!$B$24=0,'Inputs - Fixed Costs (OpEx)'!U57,'Inputs - Fixed Costs (OpEx)'!U57*(1+'Inputs - Products'!$B$24))</f>
        <v>4800</v>
      </c>
      <c r="T43" s="55">
        <f>IF('Inputs - Products'!$B$24=0,'Inputs - Fixed Costs (OpEx)'!V57,'Inputs - Fixed Costs (OpEx)'!V57*(1+'Inputs - Products'!$B$24))</f>
        <v>4800</v>
      </c>
      <c r="U43" s="55">
        <f>IF('Inputs - Products'!$B$24=0,'Inputs - Fixed Costs (OpEx)'!W57,'Inputs - Fixed Costs (OpEx)'!W57*(1+'Inputs - Products'!$B$24))</f>
        <v>4800</v>
      </c>
      <c r="V43" s="55">
        <f>IF('Inputs - Products'!$B$24=0,'Inputs - Fixed Costs (OpEx)'!X57,'Inputs - Fixed Costs (OpEx)'!X57*(1+'Inputs - Products'!$B$24))</f>
        <v>4800</v>
      </c>
      <c r="W43" s="55">
        <f>IF('Inputs - Products'!$B$24=0,'Inputs - Fixed Costs (OpEx)'!Y57,'Inputs - Fixed Costs (OpEx)'!Y57*(1+'Inputs - Products'!$B$24))</f>
        <v>4800</v>
      </c>
      <c r="X43" s="55">
        <f>IF('Inputs - Products'!$B$24=0,'Inputs - Fixed Costs (OpEx)'!Z57,'Inputs - Fixed Costs (OpEx)'!Z57*(1+'Inputs - Products'!$B$24))</f>
        <v>4800</v>
      </c>
      <c r="Y43" s="55">
        <f>IF('Inputs - Products'!$B$24=0,'Inputs - Fixed Costs (OpEx)'!AA57,'Inputs - Fixed Costs (OpEx)'!AA57*(1+'Inputs - Products'!$B$24))</f>
        <v>4800</v>
      </c>
      <c r="Z43" s="55">
        <f>IF('Inputs - Products'!$B$24=0,'Inputs - Fixed Costs (OpEx)'!AB57,'Inputs - Fixed Costs (OpEx)'!AB57*(1+'Inputs - Products'!$B$24))</f>
        <v>4800</v>
      </c>
      <c r="AA43" s="55">
        <f>IF('Inputs - Products'!$B$24=0,'Inputs - Fixed Costs (OpEx)'!AC57,'Inputs - Fixed Costs (OpEx)'!AC57*(1+'Inputs - Products'!$B$24))</f>
        <v>4800</v>
      </c>
      <c r="AB43" s="55">
        <f>IF('Inputs - Products'!$B$24=0,'Inputs - Fixed Costs (OpEx)'!AD57,'Inputs - Fixed Costs (OpEx)'!AD57*(1+'Inputs - Products'!$B$24))</f>
        <v>9000</v>
      </c>
      <c r="AC43" s="55">
        <f>IF('Inputs - Products'!$B$24=0,'Inputs - Fixed Costs (OpEx)'!AE57,'Inputs - Fixed Costs (OpEx)'!AE57*(1+'Inputs - Products'!$B$24))</f>
        <v>9000</v>
      </c>
      <c r="AD43" s="55">
        <f>IF('Inputs - Products'!$B$24=0,'Inputs - Fixed Costs (OpEx)'!AF57,'Inputs - Fixed Costs (OpEx)'!AF57*(1+'Inputs - Products'!$B$24))</f>
        <v>9000</v>
      </c>
      <c r="AE43" s="55">
        <f>IF('Inputs - Products'!$B$24=0,'Inputs - Fixed Costs (OpEx)'!AG57,'Inputs - Fixed Costs (OpEx)'!AG57*(1+'Inputs - Products'!$B$24))</f>
        <v>9000</v>
      </c>
      <c r="AF43" s="55">
        <f>IF('Inputs - Products'!$B$24=0,'Inputs - Fixed Costs (OpEx)'!AH57,'Inputs - Fixed Costs (OpEx)'!AH57*(1+'Inputs - Products'!$B$24))</f>
        <v>9000</v>
      </c>
      <c r="AG43" s="55">
        <f>IF('Inputs - Products'!$B$24=0,'Inputs - Fixed Costs (OpEx)'!AI57,'Inputs - Fixed Costs (OpEx)'!AI57*(1+'Inputs - Products'!$B$24))</f>
        <v>9000</v>
      </c>
      <c r="AH43" s="55">
        <f>IF('Inputs - Products'!$B$24=0,'Inputs - Fixed Costs (OpEx)'!AJ57,'Inputs - Fixed Costs (OpEx)'!AJ57*(1+'Inputs - Products'!$B$24))</f>
        <v>9000</v>
      </c>
      <c r="AI43" s="55">
        <f>IF('Inputs - Products'!$B$24=0,'Inputs - Fixed Costs (OpEx)'!AK57,'Inputs - Fixed Costs (OpEx)'!AK57*(1+'Inputs - Products'!$B$24))</f>
        <v>9000</v>
      </c>
      <c r="AJ43" s="55">
        <f>IF('Inputs - Products'!$B$24=0,'Inputs - Fixed Costs (OpEx)'!AL57,'Inputs - Fixed Costs (OpEx)'!AL57*(1+'Inputs - Products'!$B$24))</f>
        <v>9000</v>
      </c>
      <c r="AK43" s="55">
        <f>IF('Inputs - Products'!$B$24=0,'Inputs - Fixed Costs (OpEx)'!AM57,'Inputs - Fixed Costs (OpEx)'!AM57*(1+'Inputs - Products'!$B$24))</f>
        <v>9000</v>
      </c>
      <c r="AL43" s="55">
        <f>IF('Inputs - Products'!$B$24=0,'Inputs - Fixed Costs (OpEx)'!AN57,'Inputs - Fixed Costs (OpEx)'!AN57*(1+'Inputs - Products'!$B$24))</f>
        <v>9000</v>
      </c>
      <c r="AM43" s="55">
        <f>IF('Inputs - Products'!$B$24=0,'Inputs - Fixed Costs (OpEx)'!AO57,'Inputs - Fixed Costs (OpEx)'!AO57*(1+'Inputs - Products'!$B$24))</f>
        <v>9000</v>
      </c>
    </row>
    <row r="44" spans="1:39" ht="12" customHeight="1" outlineLevel="1">
      <c r="A44" s="37" t="str">
        <f>'Inputs - Fixed Costs (OpEx)'!A59</f>
        <v>Other Central Expenses</v>
      </c>
      <c r="B44" s="38"/>
      <c r="C44" s="42"/>
      <c r="D44" s="55">
        <f>IF('Inputs - Products'!$B$24=0,'Inputs - Fixed Costs (OpEx)'!F66,'Inputs - Fixed Costs (OpEx)'!F66*(1+'Inputs - Products'!$B$24))</f>
        <v>5100</v>
      </c>
      <c r="E44" s="43">
        <f>'Inputs - Fixed Costs (OpEx)'!G66</f>
        <v>5100</v>
      </c>
      <c r="F44" s="43">
        <f>'Inputs - Fixed Costs (OpEx)'!H66</f>
        <v>5100</v>
      </c>
      <c r="G44" s="43">
        <f>'Inputs - Fixed Costs (OpEx)'!I66</f>
        <v>5100</v>
      </c>
      <c r="H44" s="43">
        <f>'Inputs - Fixed Costs (OpEx)'!J66</f>
        <v>5100</v>
      </c>
      <c r="I44" s="43">
        <f>'Inputs - Fixed Costs (OpEx)'!K66</f>
        <v>5100</v>
      </c>
      <c r="J44" s="43">
        <f>'Inputs - Fixed Costs (OpEx)'!L66</f>
        <v>5100</v>
      </c>
      <c r="K44" s="43">
        <f>'Inputs - Fixed Costs (OpEx)'!M66</f>
        <v>5100</v>
      </c>
      <c r="L44" s="43">
        <f>'Inputs - Fixed Costs (OpEx)'!N66</f>
        <v>5100</v>
      </c>
      <c r="M44" s="43">
        <f>'Inputs - Fixed Costs (OpEx)'!O66</f>
        <v>5100</v>
      </c>
      <c r="N44" s="43">
        <f>'Inputs - Fixed Costs (OpEx)'!P66</f>
        <v>5100</v>
      </c>
      <c r="O44" s="43">
        <f>'Inputs - Fixed Costs (OpEx)'!Q66</f>
        <v>5100</v>
      </c>
      <c r="P44" s="43">
        <f>'Inputs - Fixed Costs (OpEx)'!R66</f>
        <v>4800</v>
      </c>
      <c r="Q44" s="43">
        <f>'Inputs - Fixed Costs (OpEx)'!S66</f>
        <v>4800</v>
      </c>
      <c r="R44" s="43">
        <f>'Inputs - Fixed Costs (OpEx)'!T66</f>
        <v>4800</v>
      </c>
      <c r="S44" s="43">
        <f>'Inputs - Fixed Costs (OpEx)'!U66</f>
        <v>4800</v>
      </c>
      <c r="T44" s="43">
        <f>'Inputs - Fixed Costs (OpEx)'!V66</f>
        <v>4800</v>
      </c>
      <c r="U44" s="43">
        <f>'Inputs - Fixed Costs (OpEx)'!W66</f>
        <v>4800</v>
      </c>
      <c r="V44" s="43">
        <f>'Inputs - Fixed Costs (OpEx)'!X66</f>
        <v>4800</v>
      </c>
      <c r="W44" s="43">
        <f>'Inputs - Fixed Costs (OpEx)'!Y66</f>
        <v>4800</v>
      </c>
      <c r="X44" s="43">
        <f>'Inputs - Fixed Costs (OpEx)'!Z66</f>
        <v>4800</v>
      </c>
      <c r="Y44" s="43">
        <f>'Inputs - Fixed Costs (OpEx)'!AA66</f>
        <v>4800</v>
      </c>
      <c r="Z44" s="43">
        <f>'Inputs - Fixed Costs (OpEx)'!AB66</f>
        <v>4800</v>
      </c>
      <c r="AA44" s="43">
        <f>'Inputs - Fixed Costs (OpEx)'!AC66</f>
        <v>4800</v>
      </c>
      <c r="AB44" s="43">
        <f>'Inputs - Fixed Costs (OpEx)'!AD66</f>
        <v>6500</v>
      </c>
      <c r="AC44" s="43">
        <f>'Inputs - Fixed Costs (OpEx)'!AE66</f>
        <v>6500</v>
      </c>
      <c r="AD44" s="43">
        <f>'Inputs - Fixed Costs (OpEx)'!AF66</f>
        <v>6500</v>
      </c>
      <c r="AE44" s="43">
        <f>'Inputs - Fixed Costs (OpEx)'!AG66</f>
        <v>6500</v>
      </c>
      <c r="AF44" s="43">
        <f>'Inputs - Fixed Costs (OpEx)'!AH66</f>
        <v>6500</v>
      </c>
      <c r="AG44" s="43">
        <f>'Inputs - Fixed Costs (OpEx)'!AI66</f>
        <v>6500</v>
      </c>
      <c r="AH44" s="43">
        <f>'Inputs - Fixed Costs (OpEx)'!AJ66</f>
        <v>6500</v>
      </c>
      <c r="AI44" s="43">
        <f>'Inputs - Fixed Costs (OpEx)'!AK66</f>
        <v>6500</v>
      </c>
      <c r="AJ44" s="43">
        <f>'Inputs - Fixed Costs (OpEx)'!AL66</f>
        <v>6500</v>
      </c>
      <c r="AK44" s="43">
        <f>'Inputs - Fixed Costs (OpEx)'!AM66</f>
        <v>6500</v>
      </c>
      <c r="AL44" s="43">
        <f>'Inputs - Fixed Costs (OpEx)'!AN66</f>
        <v>6500</v>
      </c>
      <c r="AM44" s="43">
        <f>'Inputs - Fixed Costs (OpEx)'!AO66</f>
        <v>6500</v>
      </c>
    </row>
    <row r="45" spans="1:39" ht="12" customHeight="1">
      <c r="A45" s="48" t="s">
        <v>99</v>
      </c>
      <c r="B45" s="95"/>
      <c r="C45" s="56"/>
      <c r="D45" s="56">
        <f t="shared" ref="D45:AM45" si="6">D41+D42+D43+D44</f>
        <v>11508</v>
      </c>
      <c r="E45" s="56">
        <f t="shared" si="6"/>
        <v>24589.599999999999</v>
      </c>
      <c r="F45" s="56">
        <f t="shared" si="6"/>
        <v>24589.599999999999</v>
      </c>
      <c r="G45" s="56">
        <f t="shared" si="6"/>
        <v>24589.599999999999</v>
      </c>
      <c r="H45" s="56">
        <f t="shared" si="6"/>
        <v>24589.599999999999</v>
      </c>
      <c r="I45" s="56">
        <f t="shared" si="6"/>
        <v>24589.599999999999</v>
      </c>
      <c r="J45" s="56">
        <f t="shared" si="6"/>
        <v>24589.599999999999</v>
      </c>
      <c r="K45" s="56">
        <f t="shared" si="6"/>
        <v>24589.599999999999</v>
      </c>
      <c r="L45" s="56">
        <f t="shared" si="6"/>
        <v>24589.599999999999</v>
      </c>
      <c r="M45" s="56">
        <f t="shared" si="6"/>
        <v>24589.599999999999</v>
      </c>
      <c r="N45" s="56">
        <f t="shared" si="6"/>
        <v>24589.599999999999</v>
      </c>
      <c r="O45" s="56">
        <f t="shared" si="6"/>
        <v>24589.599999999999</v>
      </c>
      <c r="P45" s="56">
        <f t="shared" si="6"/>
        <v>26683.599999999999</v>
      </c>
      <c r="Q45" s="56">
        <f t="shared" si="6"/>
        <v>26683.599999999999</v>
      </c>
      <c r="R45" s="56">
        <f t="shared" si="6"/>
        <v>26683.599999999999</v>
      </c>
      <c r="S45" s="56">
        <f t="shared" si="6"/>
        <v>26683.599999999999</v>
      </c>
      <c r="T45" s="56">
        <f t="shared" si="6"/>
        <v>26683.599999999999</v>
      </c>
      <c r="U45" s="56">
        <f t="shared" si="6"/>
        <v>26683.599999999999</v>
      </c>
      <c r="V45" s="56">
        <f t="shared" si="6"/>
        <v>26683.599999999999</v>
      </c>
      <c r="W45" s="56">
        <f t="shared" si="6"/>
        <v>26683.599999999999</v>
      </c>
      <c r="X45" s="56">
        <f t="shared" si="6"/>
        <v>26683.599999999999</v>
      </c>
      <c r="Y45" s="56">
        <f t="shared" si="6"/>
        <v>26683.599999999999</v>
      </c>
      <c r="Z45" s="56">
        <f t="shared" si="6"/>
        <v>26683.599999999999</v>
      </c>
      <c r="AA45" s="56">
        <f t="shared" si="6"/>
        <v>26683.599999999999</v>
      </c>
      <c r="AB45" s="56">
        <f t="shared" si="6"/>
        <v>35064.6</v>
      </c>
      <c r="AC45" s="56">
        <f t="shared" si="6"/>
        <v>35064.6</v>
      </c>
      <c r="AD45" s="56">
        <f t="shared" si="6"/>
        <v>35064.6</v>
      </c>
      <c r="AE45" s="56">
        <f t="shared" si="6"/>
        <v>35064.6</v>
      </c>
      <c r="AF45" s="56">
        <f t="shared" si="6"/>
        <v>35064.6</v>
      </c>
      <c r="AG45" s="56">
        <f t="shared" si="6"/>
        <v>35064.6</v>
      </c>
      <c r="AH45" s="56">
        <f t="shared" si="6"/>
        <v>35064.6</v>
      </c>
      <c r="AI45" s="56">
        <f t="shared" si="6"/>
        <v>35064.6</v>
      </c>
      <c r="AJ45" s="56">
        <f t="shared" si="6"/>
        <v>35064.6</v>
      </c>
      <c r="AK45" s="56">
        <f t="shared" si="6"/>
        <v>35064.6</v>
      </c>
      <c r="AL45" s="56">
        <f t="shared" si="6"/>
        <v>35064.6</v>
      </c>
      <c r="AM45" s="56">
        <f t="shared" si="6"/>
        <v>35064.6</v>
      </c>
    </row>
    <row r="46" spans="1:39" ht="12" customHeight="1">
      <c r="A46" s="96"/>
      <c r="B46" s="80"/>
      <c r="C46" s="37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</row>
    <row r="47" spans="1:39" ht="12" customHeight="1">
      <c r="A47" s="48" t="s">
        <v>100</v>
      </c>
      <c r="B47" s="95"/>
      <c r="C47" s="56"/>
      <c r="D47" s="56">
        <f t="shared" ref="D47:AM47" si="7">D37-D45</f>
        <v>-11508</v>
      </c>
      <c r="E47" s="56">
        <f t="shared" si="7"/>
        <v>-24589.599999999999</v>
      </c>
      <c r="F47" s="56">
        <f t="shared" si="7"/>
        <v>-24589.599999999999</v>
      </c>
      <c r="G47" s="56">
        <f t="shared" si="7"/>
        <v>-24589.599999999999</v>
      </c>
      <c r="H47" s="56">
        <f t="shared" si="7"/>
        <v>-24589.599999999999</v>
      </c>
      <c r="I47" s="56">
        <f t="shared" si="7"/>
        <v>-24589.599999999999</v>
      </c>
      <c r="J47" s="56">
        <f t="shared" si="7"/>
        <v>-5849.5999999999985</v>
      </c>
      <c r="K47" s="56">
        <f t="shared" si="7"/>
        <v>-24589.599999999999</v>
      </c>
      <c r="L47" s="56">
        <f t="shared" si="7"/>
        <v>-5849.5999999999985</v>
      </c>
      <c r="M47" s="56">
        <f t="shared" si="7"/>
        <v>-24589.599999999999</v>
      </c>
      <c r="N47" s="56">
        <f t="shared" si="7"/>
        <v>-5849.5999999999985</v>
      </c>
      <c r="O47" s="56">
        <f t="shared" si="7"/>
        <v>-24589.599999999999</v>
      </c>
      <c r="P47" s="56">
        <f t="shared" si="7"/>
        <v>-7943.5999999999985</v>
      </c>
      <c r="Q47" s="56">
        <f t="shared" si="7"/>
        <v>-26683.599999999999</v>
      </c>
      <c r="R47" s="56">
        <f t="shared" si="7"/>
        <v>-7943.5999999999985</v>
      </c>
      <c r="S47" s="56">
        <f t="shared" si="7"/>
        <v>-26683.599999999999</v>
      </c>
      <c r="T47" s="56">
        <f t="shared" si="7"/>
        <v>-7943.5999999999985</v>
      </c>
      <c r="U47" s="56">
        <f t="shared" si="7"/>
        <v>-26683.599999999999</v>
      </c>
      <c r="V47" s="56">
        <f t="shared" si="7"/>
        <v>-7943.5999999999985</v>
      </c>
      <c r="W47" s="56">
        <f t="shared" si="7"/>
        <v>-26683.599999999999</v>
      </c>
      <c r="X47" s="56">
        <f t="shared" si="7"/>
        <v>-7943.5999999999985</v>
      </c>
      <c r="Y47" s="56">
        <f t="shared" si="7"/>
        <v>-26683.599999999999</v>
      </c>
      <c r="Z47" s="56">
        <f t="shared" si="7"/>
        <v>-7943.5999999999985</v>
      </c>
      <c r="AA47" s="56">
        <f t="shared" si="7"/>
        <v>-26683.599999999999</v>
      </c>
      <c r="AB47" s="56">
        <f t="shared" si="7"/>
        <v>-16324.599999999999</v>
      </c>
      <c r="AC47" s="56">
        <f t="shared" si="7"/>
        <v>2415.4000000000015</v>
      </c>
      <c r="AD47" s="56">
        <f t="shared" si="7"/>
        <v>-16324.599999999999</v>
      </c>
      <c r="AE47" s="56">
        <f t="shared" si="7"/>
        <v>2415.4000000000015</v>
      </c>
      <c r="AF47" s="56">
        <f t="shared" si="7"/>
        <v>-16324.599999999999</v>
      </c>
      <c r="AG47" s="56">
        <f t="shared" si="7"/>
        <v>-16324.599999999999</v>
      </c>
      <c r="AH47" s="56">
        <f t="shared" si="7"/>
        <v>-16324.599999999999</v>
      </c>
      <c r="AI47" s="56">
        <f t="shared" si="7"/>
        <v>2415.4000000000015</v>
      </c>
      <c r="AJ47" s="56">
        <f t="shared" si="7"/>
        <v>-16324.599999999999</v>
      </c>
      <c r="AK47" s="56">
        <f t="shared" si="7"/>
        <v>-16324.599999999999</v>
      </c>
      <c r="AL47" s="56">
        <f t="shared" si="7"/>
        <v>-16324.599999999999</v>
      </c>
      <c r="AM47" s="56">
        <f t="shared" si="7"/>
        <v>-16324.599999999999</v>
      </c>
    </row>
    <row r="48" spans="1:39" ht="15.75" customHeight="1">
      <c r="A48" s="97" t="s">
        <v>101</v>
      </c>
      <c r="B48" s="98"/>
      <c r="C48" s="98"/>
      <c r="D48" s="99">
        <f t="shared" ref="D48:AM48" si="8">IFERROR(D47/D25,0)</f>
        <v>0</v>
      </c>
      <c r="E48" s="99">
        <f t="shared" si="8"/>
        <v>0</v>
      </c>
      <c r="F48" s="99">
        <f t="shared" si="8"/>
        <v>0</v>
      </c>
      <c r="G48" s="99">
        <f t="shared" si="8"/>
        <v>0</v>
      </c>
      <c r="H48" s="99">
        <f t="shared" si="8"/>
        <v>0</v>
      </c>
      <c r="I48" s="99">
        <f t="shared" si="8"/>
        <v>0</v>
      </c>
      <c r="J48" s="99">
        <f t="shared" si="8"/>
        <v>-0.24373333333333327</v>
      </c>
      <c r="K48" s="99">
        <f t="shared" si="8"/>
        <v>0</v>
      </c>
      <c r="L48" s="99">
        <f t="shared" si="8"/>
        <v>-0.24373333333333327</v>
      </c>
      <c r="M48" s="99">
        <f t="shared" si="8"/>
        <v>0</v>
      </c>
      <c r="N48" s="99">
        <f t="shared" si="8"/>
        <v>-0.24373333333333327</v>
      </c>
      <c r="O48" s="99">
        <f t="shared" si="8"/>
        <v>0</v>
      </c>
      <c r="P48" s="99">
        <f t="shared" si="8"/>
        <v>-0.3309833333333333</v>
      </c>
      <c r="Q48" s="99">
        <f t="shared" si="8"/>
        <v>0</v>
      </c>
      <c r="R48" s="99">
        <f t="shared" si="8"/>
        <v>-0.3309833333333333</v>
      </c>
      <c r="S48" s="99">
        <f t="shared" si="8"/>
        <v>0</v>
      </c>
      <c r="T48" s="99">
        <f t="shared" si="8"/>
        <v>-0.3309833333333333</v>
      </c>
      <c r="U48" s="99">
        <f t="shared" si="8"/>
        <v>0</v>
      </c>
      <c r="V48" s="99">
        <f t="shared" si="8"/>
        <v>-0.3309833333333333</v>
      </c>
      <c r="W48" s="99">
        <f t="shared" si="8"/>
        <v>0</v>
      </c>
      <c r="X48" s="99">
        <f t="shared" si="8"/>
        <v>-0.3309833333333333</v>
      </c>
      <c r="Y48" s="99">
        <f t="shared" si="8"/>
        <v>0</v>
      </c>
      <c r="Z48" s="99">
        <f t="shared" si="8"/>
        <v>-0.3309833333333333</v>
      </c>
      <c r="AA48" s="99">
        <f t="shared" si="8"/>
        <v>0</v>
      </c>
      <c r="AB48" s="99">
        <f t="shared" si="8"/>
        <v>-0.68019166666666664</v>
      </c>
      <c r="AC48" s="99">
        <f t="shared" si="8"/>
        <v>5.0320833333333363E-2</v>
      </c>
      <c r="AD48" s="99">
        <f t="shared" si="8"/>
        <v>-0.68019166666666664</v>
      </c>
      <c r="AE48" s="99">
        <f t="shared" si="8"/>
        <v>5.0320833333333363E-2</v>
      </c>
      <c r="AF48" s="99">
        <f t="shared" si="8"/>
        <v>-0.68019166666666664</v>
      </c>
      <c r="AG48" s="99">
        <f t="shared" si="8"/>
        <v>-0.68019166666666664</v>
      </c>
      <c r="AH48" s="99">
        <f t="shared" si="8"/>
        <v>-0.68019166666666664</v>
      </c>
      <c r="AI48" s="99">
        <f t="shared" si="8"/>
        <v>5.0320833333333363E-2</v>
      </c>
      <c r="AJ48" s="99">
        <f t="shared" si="8"/>
        <v>-0.68019166666666664</v>
      </c>
      <c r="AK48" s="99">
        <f t="shared" si="8"/>
        <v>-0.68019166666666664</v>
      </c>
      <c r="AL48" s="99">
        <f t="shared" si="8"/>
        <v>-0.68019166666666664</v>
      </c>
      <c r="AM48" s="99">
        <f t="shared" si="8"/>
        <v>-0.68019166666666664</v>
      </c>
    </row>
    <row r="49" spans="1:3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 spans="1:39" ht="12" customHeight="1">
      <c r="A50" s="41" t="s">
        <v>102</v>
      </c>
      <c r="B50" s="80"/>
      <c r="C50" s="42"/>
      <c r="D50" s="37"/>
      <c r="E50" s="37"/>
      <c r="F50" s="37"/>
      <c r="G50" s="37"/>
      <c r="H50" s="100"/>
      <c r="I50" s="100"/>
      <c r="J50" s="100"/>
      <c r="K50" s="100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100"/>
      <c r="Y50" s="100"/>
      <c r="Z50" s="100"/>
      <c r="AA50" s="100"/>
      <c r="AB50" s="37"/>
      <c r="AC50" s="37"/>
      <c r="AD50" s="37"/>
      <c r="AE50" s="37"/>
      <c r="AF50" s="37"/>
      <c r="AG50" s="37"/>
      <c r="AH50" s="37"/>
      <c r="AI50" s="37"/>
      <c r="AJ50" s="100"/>
      <c r="AK50" s="100"/>
      <c r="AL50" s="100"/>
      <c r="AM50" s="100"/>
    </row>
    <row r="51" spans="1:39" ht="12" customHeight="1">
      <c r="A51" s="101" t="s">
        <v>103</v>
      </c>
      <c r="B51" s="102"/>
      <c r="C51" s="42"/>
      <c r="D51" s="103">
        <f>'Inputs - Sales &amp; Investment'!D29</f>
        <v>150000</v>
      </c>
      <c r="E51" s="103">
        <f>'Inputs - Sales &amp; Investment'!E29</f>
        <v>0</v>
      </c>
      <c r="F51" s="103">
        <f>'Inputs - Sales &amp; Investment'!F29</f>
        <v>0</v>
      </c>
      <c r="G51" s="103">
        <f>'Inputs - Sales &amp; Investment'!G29</f>
        <v>0</v>
      </c>
      <c r="H51" s="103">
        <f>'Inputs - Sales &amp; Investment'!H29</f>
        <v>0</v>
      </c>
      <c r="I51" s="103">
        <f>'Inputs - Sales &amp; Investment'!I29</f>
        <v>0</v>
      </c>
      <c r="J51" s="103">
        <f>'Inputs - Sales &amp; Investment'!J29</f>
        <v>0</v>
      </c>
      <c r="K51" s="103">
        <f>'Inputs - Sales &amp; Investment'!K29</f>
        <v>0</v>
      </c>
      <c r="L51" s="103">
        <f>'Inputs - Sales &amp; Investment'!L29</f>
        <v>0</v>
      </c>
      <c r="M51" s="103">
        <f>'Inputs - Sales &amp; Investment'!M29</f>
        <v>0</v>
      </c>
      <c r="N51" s="103">
        <f>'Inputs - Sales &amp; Investment'!N29</f>
        <v>0</v>
      </c>
      <c r="O51" s="103">
        <f>'Inputs - Sales &amp; Investment'!O29</f>
        <v>0</v>
      </c>
      <c r="P51" s="103">
        <f>'Inputs - Sales &amp; Investment'!P29</f>
        <v>100000</v>
      </c>
      <c r="Q51" s="103">
        <f>'Inputs - Sales &amp; Investment'!Q29</f>
        <v>0</v>
      </c>
      <c r="R51" s="103">
        <f>'Inputs - Sales &amp; Investment'!R29</f>
        <v>0</v>
      </c>
      <c r="S51" s="103">
        <f>'Inputs - Sales &amp; Investment'!S29</f>
        <v>0</v>
      </c>
      <c r="T51" s="103">
        <f>'Inputs - Sales &amp; Investment'!T29</f>
        <v>0</v>
      </c>
      <c r="U51" s="103">
        <f>'Inputs - Sales &amp; Investment'!U29</f>
        <v>0</v>
      </c>
      <c r="V51" s="103">
        <f>'Inputs - Sales &amp; Investment'!V29</f>
        <v>0</v>
      </c>
      <c r="W51" s="103">
        <f>'Inputs - Sales &amp; Investment'!W29</f>
        <v>0</v>
      </c>
      <c r="X51" s="103">
        <f>'Inputs - Sales &amp; Investment'!X29</f>
        <v>0</v>
      </c>
      <c r="Y51" s="103">
        <f>'Inputs - Sales &amp; Investment'!Y29</f>
        <v>0</v>
      </c>
      <c r="Z51" s="103">
        <f>'Inputs - Sales &amp; Investment'!Z29</f>
        <v>0</v>
      </c>
      <c r="AA51" s="103">
        <f>'Inputs - Sales &amp; Investment'!AA29</f>
        <v>0</v>
      </c>
      <c r="AB51" s="103">
        <f>'Inputs - Sales &amp; Investment'!AB29</f>
        <v>50000</v>
      </c>
      <c r="AC51" s="103">
        <f>'Inputs - Sales &amp; Investment'!AC29</f>
        <v>0</v>
      </c>
      <c r="AD51" s="103">
        <f>'Inputs - Sales &amp; Investment'!AD29</f>
        <v>0</v>
      </c>
      <c r="AE51" s="103">
        <f>'Inputs - Sales &amp; Investment'!AE29</f>
        <v>0</v>
      </c>
      <c r="AF51" s="103">
        <f>'Inputs - Sales &amp; Investment'!AF29</f>
        <v>0</v>
      </c>
      <c r="AG51" s="103">
        <f>'Inputs - Sales &amp; Investment'!AG29</f>
        <v>0</v>
      </c>
      <c r="AH51" s="103">
        <f>'Inputs - Sales &amp; Investment'!AH29</f>
        <v>0</v>
      </c>
      <c r="AI51" s="103">
        <f>'Inputs - Sales &amp; Investment'!AI29</f>
        <v>0</v>
      </c>
      <c r="AJ51" s="103">
        <f>'Inputs - Sales &amp; Investment'!AJ29</f>
        <v>0</v>
      </c>
      <c r="AK51" s="103">
        <f>'Inputs - Sales &amp; Investment'!AK29</f>
        <v>0</v>
      </c>
      <c r="AL51" s="103">
        <f>'Inputs - Sales &amp; Investment'!AL29</f>
        <v>0</v>
      </c>
      <c r="AM51" s="103">
        <f>'Inputs - Sales &amp; Investment'!AM29</f>
        <v>0</v>
      </c>
    </row>
    <row r="52" spans="1:39" ht="12" customHeight="1">
      <c r="A52" s="45" t="s">
        <v>104</v>
      </c>
      <c r="B52" s="80"/>
      <c r="C52" s="104"/>
      <c r="D52" s="103">
        <f>'Inputs - Sales &amp; Investment'!D30</f>
        <v>0</v>
      </c>
      <c r="E52" s="103">
        <f>'Inputs - Sales &amp; Investment'!E30</f>
        <v>0</v>
      </c>
      <c r="F52" s="103">
        <f>'Inputs - Sales &amp; Investment'!F30</f>
        <v>0</v>
      </c>
      <c r="G52" s="103">
        <f>'Inputs - Sales &amp; Investment'!G30</f>
        <v>0</v>
      </c>
      <c r="H52" s="103">
        <f>'Inputs - Sales &amp; Investment'!H30</f>
        <v>0</v>
      </c>
      <c r="I52" s="103">
        <f>'Inputs - Sales &amp; Investment'!I30</f>
        <v>0</v>
      </c>
      <c r="J52" s="103">
        <f>'Inputs - Sales &amp; Investment'!J30</f>
        <v>0</v>
      </c>
      <c r="K52" s="103">
        <f>'Inputs - Sales &amp; Investment'!K30</f>
        <v>0</v>
      </c>
      <c r="L52" s="103">
        <f>'Inputs - Sales &amp; Investment'!L30</f>
        <v>0</v>
      </c>
      <c r="M52" s="103">
        <f>'Inputs - Sales &amp; Investment'!M30</f>
        <v>0</v>
      </c>
      <c r="N52" s="103">
        <f>'Inputs - Sales &amp; Investment'!N30</f>
        <v>0</v>
      </c>
      <c r="O52" s="103">
        <f>'Inputs - Sales &amp; Investment'!O30</f>
        <v>0</v>
      </c>
      <c r="P52" s="103">
        <f>'Inputs - Sales &amp; Investment'!P30</f>
        <v>0</v>
      </c>
      <c r="Q52" s="103">
        <f>'Inputs - Sales &amp; Investment'!Q30</f>
        <v>0</v>
      </c>
      <c r="R52" s="103">
        <f>'Inputs - Sales &amp; Investment'!R30</f>
        <v>0</v>
      </c>
      <c r="S52" s="103">
        <f>'Inputs - Sales &amp; Investment'!S30</f>
        <v>0</v>
      </c>
      <c r="T52" s="103">
        <f>'Inputs - Sales &amp; Investment'!T30</f>
        <v>0</v>
      </c>
      <c r="U52" s="103">
        <f>'Inputs - Sales &amp; Investment'!U30</f>
        <v>0</v>
      </c>
      <c r="V52" s="103">
        <f>'Inputs - Sales &amp; Investment'!V30</f>
        <v>0</v>
      </c>
      <c r="W52" s="103">
        <f>'Inputs - Sales &amp; Investment'!W30</f>
        <v>0</v>
      </c>
      <c r="X52" s="103">
        <f>'Inputs - Sales &amp; Investment'!X30</f>
        <v>0</v>
      </c>
      <c r="Y52" s="103">
        <f>'Inputs - Sales &amp; Investment'!Y30</f>
        <v>0</v>
      </c>
      <c r="Z52" s="103">
        <f>'Inputs - Sales &amp; Investment'!Z30</f>
        <v>0</v>
      </c>
      <c r="AA52" s="103">
        <f>'Inputs - Sales &amp; Investment'!AA30</f>
        <v>0</v>
      </c>
      <c r="AB52" s="103">
        <f>'Inputs - Sales &amp; Investment'!AB30</f>
        <v>0</v>
      </c>
      <c r="AC52" s="103">
        <f>'Inputs - Sales &amp; Investment'!AC30</f>
        <v>0</v>
      </c>
      <c r="AD52" s="103">
        <f>'Inputs - Sales &amp; Investment'!AD30</f>
        <v>0</v>
      </c>
      <c r="AE52" s="103">
        <f>'Inputs - Sales &amp; Investment'!AE30</f>
        <v>0</v>
      </c>
      <c r="AF52" s="103">
        <f>'Inputs - Sales &amp; Investment'!AF30</f>
        <v>0</v>
      </c>
      <c r="AG52" s="103">
        <f>'Inputs - Sales &amp; Investment'!AG30</f>
        <v>0</v>
      </c>
      <c r="AH52" s="103">
        <f>'Inputs - Sales &amp; Investment'!AH30</f>
        <v>0</v>
      </c>
      <c r="AI52" s="103">
        <f>'Inputs - Sales &amp; Investment'!AI30</f>
        <v>0</v>
      </c>
      <c r="AJ52" s="103">
        <f>'Inputs - Sales &amp; Investment'!AJ30</f>
        <v>0</v>
      </c>
      <c r="AK52" s="103">
        <f>'Inputs - Sales &amp; Investment'!AK30</f>
        <v>0</v>
      </c>
      <c r="AL52" s="103">
        <f>'Inputs - Sales &amp; Investment'!AL30</f>
        <v>0</v>
      </c>
      <c r="AM52" s="103">
        <f>'Inputs - Sales &amp; Investment'!AM30</f>
        <v>0</v>
      </c>
    </row>
    <row r="53" spans="1:39" ht="12" customHeight="1">
      <c r="A53" s="48" t="s">
        <v>105</v>
      </c>
      <c r="B53" s="95"/>
      <c r="C53" s="56"/>
      <c r="D53" s="105">
        <f t="shared" ref="D53:AM53" si="9">D47+D56+D57-D59-D60</f>
        <v>-11508</v>
      </c>
      <c r="E53" s="105">
        <f t="shared" si="9"/>
        <v>-24589.599999999999</v>
      </c>
      <c r="F53" s="105">
        <f t="shared" si="9"/>
        <v>-24589.599999999999</v>
      </c>
      <c r="G53" s="105">
        <f t="shared" si="9"/>
        <v>25410.400000000001</v>
      </c>
      <c r="H53" s="105">
        <f t="shared" si="9"/>
        <v>-24589.599999999999</v>
      </c>
      <c r="I53" s="105">
        <f t="shared" si="9"/>
        <v>-24589.599999999999</v>
      </c>
      <c r="J53" s="105">
        <f t="shared" si="9"/>
        <v>-5849.5999999999985</v>
      </c>
      <c r="K53" s="105">
        <f t="shared" si="9"/>
        <v>-24589.599999999999</v>
      </c>
      <c r="L53" s="105">
        <f t="shared" si="9"/>
        <v>-5849.5999999999985</v>
      </c>
      <c r="M53" s="105">
        <f t="shared" si="9"/>
        <v>-24589.599999999999</v>
      </c>
      <c r="N53" s="105">
        <f t="shared" si="9"/>
        <v>-5849.5999999999985</v>
      </c>
      <c r="O53" s="105">
        <f t="shared" si="9"/>
        <v>-24589.599999999999</v>
      </c>
      <c r="P53" s="105">
        <f t="shared" si="9"/>
        <v>-7943.5999999999985</v>
      </c>
      <c r="Q53" s="105">
        <f t="shared" si="9"/>
        <v>-26683.599999999999</v>
      </c>
      <c r="R53" s="105">
        <f t="shared" si="9"/>
        <v>-7943.5999999999985</v>
      </c>
      <c r="S53" s="105">
        <f t="shared" si="9"/>
        <v>-26683.599999999999</v>
      </c>
      <c r="T53" s="105">
        <f t="shared" si="9"/>
        <v>-7943.5999999999985</v>
      </c>
      <c r="U53" s="105">
        <f t="shared" si="9"/>
        <v>-26683.599999999999</v>
      </c>
      <c r="V53" s="105">
        <f t="shared" si="9"/>
        <v>-7943.5999999999985</v>
      </c>
      <c r="W53" s="105">
        <f t="shared" si="9"/>
        <v>-26683.599999999999</v>
      </c>
      <c r="X53" s="105">
        <f t="shared" si="9"/>
        <v>-7943.5999999999985</v>
      </c>
      <c r="Y53" s="105">
        <f t="shared" si="9"/>
        <v>-26683.599999999999</v>
      </c>
      <c r="Z53" s="105">
        <f t="shared" si="9"/>
        <v>-7943.5999999999985</v>
      </c>
      <c r="AA53" s="105">
        <f t="shared" si="9"/>
        <v>-26683.599999999999</v>
      </c>
      <c r="AB53" s="105">
        <f t="shared" si="9"/>
        <v>-16324.599999999999</v>
      </c>
      <c r="AC53" s="105">
        <f t="shared" si="9"/>
        <v>2415.4000000000015</v>
      </c>
      <c r="AD53" s="105">
        <f t="shared" si="9"/>
        <v>-16324.599999999999</v>
      </c>
      <c r="AE53" s="105">
        <f t="shared" si="9"/>
        <v>2415.4000000000015</v>
      </c>
      <c r="AF53" s="105">
        <f t="shared" si="9"/>
        <v>-16324.599999999999</v>
      </c>
      <c r="AG53" s="105">
        <f t="shared" si="9"/>
        <v>-16324.599999999999</v>
      </c>
      <c r="AH53" s="105">
        <f t="shared" si="9"/>
        <v>-16324.599999999999</v>
      </c>
      <c r="AI53" s="105">
        <f t="shared" si="9"/>
        <v>2415.4000000000015</v>
      </c>
      <c r="AJ53" s="105">
        <f t="shared" si="9"/>
        <v>-16324.599999999999</v>
      </c>
      <c r="AK53" s="105">
        <f t="shared" si="9"/>
        <v>-16324.599999999999</v>
      </c>
      <c r="AL53" s="105">
        <f t="shared" si="9"/>
        <v>-16324.599999999999</v>
      </c>
      <c r="AM53" s="105">
        <f t="shared" si="9"/>
        <v>-16324.599999999999</v>
      </c>
    </row>
    <row r="54" spans="1:39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</row>
    <row r="55" spans="1:39" ht="12" customHeight="1">
      <c r="A55" s="41" t="s">
        <v>106</v>
      </c>
      <c r="B55" s="80"/>
      <c r="C55" s="42"/>
      <c r="D55" s="37"/>
      <c r="E55" s="37"/>
      <c r="F55" s="37"/>
      <c r="G55" s="37"/>
      <c r="H55" s="100"/>
      <c r="I55" s="100"/>
      <c r="J55" s="100"/>
      <c r="K55" s="100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100"/>
      <c r="Y55" s="100"/>
      <c r="Z55" s="100"/>
      <c r="AA55" s="100"/>
      <c r="AB55" s="37"/>
      <c r="AC55" s="37"/>
      <c r="AD55" s="37"/>
      <c r="AE55" s="37"/>
      <c r="AF55" s="37"/>
      <c r="AG55" s="37"/>
      <c r="AH55" s="37"/>
      <c r="AI55" s="37"/>
      <c r="AJ55" s="100"/>
      <c r="AK55" s="100"/>
      <c r="AL55" s="100"/>
      <c r="AM55" s="100"/>
    </row>
    <row r="56" spans="1:39" ht="12" customHeight="1">
      <c r="A56" s="101" t="s">
        <v>107</v>
      </c>
      <c r="B56" s="102"/>
      <c r="C56" s="42"/>
      <c r="D56" s="103">
        <f>'Inputs - Sales &amp; Investment'!D31</f>
        <v>0</v>
      </c>
      <c r="E56" s="103">
        <f>'Inputs - Sales &amp; Investment'!E31</f>
        <v>0</v>
      </c>
      <c r="F56" s="103">
        <f>'Inputs - Sales &amp; Investment'!F31</f>
        <v>0</v>
      </c>
      <c r="G56" s="103">
        <f>'Inputs - Sales &amp; Investment'!G31</f>
        <v>50000</v>
      </c>
      <c r="H56" s="103">
        <f>'Inputs - Sales &amp; Investment'!H31</f>
        <v>0</v>
      </c>
      <c r="I56" s="103">
        <f>'Inputs - Sales &amp; Investment'!I31</f>
        <v>0</v>
      </c>
      <c r="J56" s="103">
        <f>'Inputs - Sales &amp; Investment'!J31</f>
        <v>0</v>
      </c>
      <c r="K56" s="103">
        <f>'Inputs - Sales &amp; Investment'!K31</f>
        <v>0</v>
      </c>
      <c r="L56" s="103">
        <f>'Inputs - Sales &amp; Investment'!L31</f>
        <v>0</v>
      </c>
      <c r="M56" s="103">
        <f>'Inputs - Sales &amp; Investment'!M31</f>
        <v>0</v>
      </c>
      <c r="N56" s="103">
        <f>'Inputs - Sales &amp; Investment'!N31</f>
        <v>0</v>
      </c>
      <c r="O56" s="103">
        <f>'Inputs - Sales &amp; Investment'!O31</f>
        <v>0</v>
      </c>
      <c r="P56" s="103">
        <f>'Inputs - Sales &amp; Investment'!P31</f>
        <v>0</v>
      </c>
      <c r="Q56" s="103">
        <f>'Inputs - Sales &amp; Investment'!Q31</f>
        <v>0</v>
      </c>
      <c r="R56" s="103">
        <f>'Inputs - Sales &amp; Investment'!R31</f>
        <v>0</v>
      </c>
      <c r="S56" s="103">
        <f>'Inputs - Sales &amp; Investment'!S31</f>
        <v>0</v>
      </c>
      <c r="T56" s="103">
        <f>'Inputs - Sales &amp; Investment'!T31</f>
        <v>0</v>
      </c>
      <c r="U56" s="103">
        <f>'Inputs - Sales &amp; Investment'!U31</f>
        <v>0</v>
      </c>
      <c r="V56" s="103">
        <f>'Inputs - Sales &amp; Investment'!V31</f>
        <v>0</v>
      </c>
      <c r="W56" s="103">
        <f>'Inputs - Sales &amp; Investment'!W31</f>
        <v>0</v>
      </c>
      <c r="X56" s="103">
        <f>'Inputs - Sales &amp; Investment'!X31</f>
        <v>0</v>
      </c>
      <c r="Y56" s="103">
        <f>'Inputs - Sales &amp; Investment'!Y31</f>
        <v>0</v>
      </c>
      <c r="Z56" s="103">
        <f>'Inputs - Sales &amp; Investment'!Z31</f>
        <v>0</v>
      </c>
      <c r="AA56" s="103">
        <f>'Inputs - Sales &amp; Investment'!AA31</f>
        <v>0</v>
      </c>
      <c r="AB56" s="103">
        <f>'Inputs - Sales &amp; Investment'!AB31</f>
        <v>0</v>
      </c>
      <c r="AC56" s="103">
        <f>'Inputs - Sales &amp; Investment'!AC31</f>
        <v>0</v>
      </c>
      <c r="AD56" s="103">
        <f>'Inputs - Sales &amp; Investment'!AD31</f>
        <v>0</v>
      </c>
      <c r="AE56" s="103">
        <f>'Inputs - Sales &amp; Investment'!AE31</f>
        <v>0</v>
      </c>
      <c r="AF56" s="103">
        <f>'Inputs - Sales &amp; Investment'!AF31</f>
        <v>0</v>
      </c>
      <c r="AG56" s="103">
        <f>'Inputs - Sales &amp; Investment'!AG31</f>
        <v>0</v>
      </c>
      <c r="AH56" s="103">
        <f>'Inputs - Sales &amp; Investment'!AH31</f>
        <v>0</v>
      </c>
      <c r="AI56" s="103">
        <f>'Inputs - Sales &amp; Investment'!AI31</f>
        <v>0</v>
      </c>
      <c r="AJ56" s="103">
        <f>'Inputs - Sales &amp; Investment'!AJ31</f>
        <v>0</v>
      </c>
      <c r="AK56" s="103">
        <f>'Inputs - Sales &amp; Investment'!AK31</f>
        <v>0</v>
      </c>
      <c r="AL56" s="103">
        <f>'Inputs - Sales &amp; Investment'!AL31</f>
        <v>0</v>
      </c>
      <c r="AM56" s="103">
        <f>'Inputs - Sales &amp; Investment'!AM31</f>
        <v>0</v>
      </c>
    </row>
    <row r="57" spans="1:39" ht="12" customHeight="1" outlineLevel="1">
      <c r="A57" s="106" t="s">
        <v>108</v>
      </c>
      <c r="B57" s="107"/>
      <c r="C57" s="108"/>
      <c r="D57" s="109">
        <v>0</v>
      </c>
      <c r="E57" s="109">
        <v>0</v>
      </c>
      <c r="F57" s="109">
        <v>0</v>
      </c>
      <c r="G57" s="109">
        <v>0</v>
      </c>
      <c r="H57" s="109">
        <v>0</v>
      </c>
      <c r="I57" s="109">
        <v>0</v>
      </c>
      <c r="J57" s="109">
        <v>0</v>
      </c>
      <c r="K57" s="109">
        <v>0</v>
      </c>
      <c r="L57" s="109">
        <v>0</v>
      </c>
      <c r="M57" s="109">
        <v>0</v>
      </c>
      <c r="N57" s="109">
        <v>0</v>
      </c>
      <c r="O57" s="109">
        <v>0</v>
      </c>
      <c r="P57" s="109">
        <v>0</v>
      </c>
      <c r="Q57" s="109">
        <v>0</v>
      </c>
      <c r="R57" s="109">
        <v>0</v>
      </c>
      <c r="S57" s="109">
        <v>0</v>
      </c>
      <c r="T57" s="109">
        <v>0</v>
      </c>
      <c r="U57" s="109">
        <v>0</v>
      </c>
      <c r="V57" s="109">
        <v>0</v>
      </c>
      <c r="W57" s="109">
        <v>0</v>
      </c>
      <c r="X57" s="109">
        <v>0</v>
      </c>
      <c r="Y57" s="109">
        <v>0</v>
      </c>
      <c r="Z57" s="109">
        <v>0</v>
      </c>
      <c r="AA57" s="109">
        <v>0</v>
      </c>
      <c r="AB57" s="109">
        <v>0</v>
      </c>
      <c r="AC57" s="109">
        <v>0</v>
      </c>
      <c r="AD57" s="109">
        <v>0</v>
      </c>
      <c r="AE57" s="109">
        <v>0</v>
      </c>
      <c r="AF57" s="109">
        <v>0</v>
      </c>
      <c r="AG57" s="109">
        <v>0</v>
      </c>
      <c r="AH57" s="109">
        <v>0</v>
      </c>
      <c r="AI57" s="109">
        <v>0</v>
      </c>
      <c r="AJ57" s="109">
        <v>0</v>
      </c>
      <c r="AK57" s="109">
        <v>0</v>
      </c>
      <c r="AL57" s="109">
        <v>0</v>
      </c>
      <c r="AM57" s="109">
        <v>0</v>
      </c>
    </row>
    <row r="58" spans="1:39" ht="12" customHeight="1">
      <c r="A58" s="41" t="s">
        <v>109</v>
      </c>
      <c r="B58" s="110"/>
      <c r="C58" s="42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</row>
    <row r="59" spans="1:39" ht="12" customHeight="1">
      <c r="A59" s="106" t="s">
        <v>110</v>
      </c>
      <c r="B59" s="111"/>
      <c r="C59" s="41"/>
      <c r="D59" s="103">
        <v>0</v>
      </c>
      <c r="E59" s="103">
        <v>0</v>
      </c>
      <c r="F59" s="103">
        <v>0</v>
      </c>
      <c r="G59" s="103">
        <v>0</v>
      </c>
      <c r="H59" s="103">
        <v>0</v>
      </c>
      <c r="I59" s="103">
        <v>0</v>
      </c>
      <c r="J59" s="103">
        <v>0</v>
      </c>
      <c r="K59" s="103">
        <v>0</v>
      </c>
      <c r="L59" s="103">
        <v>0</v>
      </c>
      <c r="M59" s="103">
        <v>0</v>
      </c>
      <c r="N59" s="103">
        <v>0</v>
      </c>
      <c r="O59" s="103">
        <v>0</v>
      </c>
      <c r="P59" s="103">
        <v>0</v>
      </c>
      <c r="Q59" s="103">
        <v>0</v>
      </c>
      <c r="R59" s="103">
        <v>0</v>
      </c>
      <c r="S59" s="103">
        <v>0</v>
      </c>
      <c r="T59" s="103">
        <v>0</v>
      </c>
      <c r="U59" s="103">
        <v>0</v>
      </c>
      <c r="V59" s="103">
        <v>0</v>
      </c>
      <c r="W59" s="103">
        <v>0</v>
      </c>
      <c r="X59" s="103">
        <v>0</v>
      </c>
      <c r="Y59" s="103">
        <v>0</v>
      </c>
      <c r="Z59" s="103">
        <v>0</v>
      </c>
      <c r="AA59" s="103">
        <v>0</v>
      </c>
      <c r="AB59" s="103">
        <v>0</v>
      </c>
      <c r="AC59" s="103">
        <v>0</v>
      </c>
      <c r="AD59" s="103">
        <v>0</v>
      </c>
      <c r="AE59" s="103">
        <v>0</v>
      </c>
      <c r="AF59" s="103">
        <v>0</v>
      </c>
      <c r="AG59" s="103">
        <v>0</v>
      </c>
      <c r="AH59" s="103">
        <v>0</v>
      </c>
      <c r="AI59" s="103">
        <v>0</v>
      </c>
      <c r="AJ59" s="103">
        <v>0</v>
      </c>
      <c r="AK59" s="103">
        <v>0</v>
      </c>
      <c r="AL59" s="103">
        <v>0</v>
      </c>
      <c r="AM59" s="103">
        <v>0</v>
      </c>
    </row>
    <row r="60" spans="1:39" ht="12" customHeight="1">
      <c r="A60" s="106" t="s">
        <v>111</v>
      </c>
      <c r="B60" s="111"/>
      <c r="C60" s="54"/>
      <c r="D60" s="103">
        <v>0</v>
      </c>
      <c r="E60" s="103">
        <v>0</v>
      </c>
      <c r="F60" s="103">
        <v>0</v>
      </c>
      <c r="G60" s="103">
        <v>0</v>
      </c>
      <c r="H60" s="103">
        <v>0</v>
      </c>
      <c r="I60" s="103">
        <v>0</v>
      </c>
      <c r="J60" s="103">
        <v>0</v>
      </c>
      <c r="K60" s="103">
        <v>0</v>
      </c>
      <c r="L60" s="103">
        <v>0</v>
      </c>
      <c r="M60" s="103">
        <v>0</v>
      </c>
      <c r="N60" s="103">
        <v>0</v>
      </c>
      <c r="O60" s="103">
        <v>0</v>
      </c>
      <c r="P60" s="103">
        <v>0</v>
      </c>
      <c r="Q60" s="103">
        <v>0</v>
      </c>
      <c r="R60" s="103">
        <v>0</v>
      </c>
      <c r="S60" s="103">
        <v>0</v>
      </c>
      <c r="T60" s="103">
        <v>0</v>
      </c>
      <c r="U60" s="103">
        <v>0</v>
      </c>
      <c r="V60" s="103">
        <v>0</v>
      </c>
      <c r="W60" s="103">
        <v>0</v>
      </c>
      <c r="X60" s="103">
        <v>0</v>
      </c>
      <c r="Y60" s="103">
        <v>0</v>
      </c>
      <c r="Z60" s="103">
        <v>0</v>
      </c>
      <c r="AA60" s="103">
        <v>0</v>
      </c>
      <c r="AB60" s="103">
        <v>0</v>
      </c>
      <c r="AC60" s="103">
        <v>0</v>
      </c>
      <c r="AD60" s="103">
        <v>0</v>
      </c>
      <c r="AE60" s="103">
        <v>0</v>
      </c>
      <c r="AF60" s="103">
        <v>0</v>
      </c>
      <c r="AG60" s="103">
        <v>0</v>
      </c>
      <c r="AH60" s="103">
        <v>0</v>
      </c>
      <c r="AI60" s="103">
        <v>0</v>
      </c>
      <c r="AJ60" s="103">
        <v>0</v>
      </c>
      <c r="AK60" s="103">
        <v>0</v>
      </c>
      <c r="AL60" s="103">
        <v>0</v>
      </c>
      <c r="AM60" s="103">
        <v>0</v>
      </c>
    </row>
    <row r="61" spans="1:39" ht="15.75" customHeight="1">
      <c r="A61" s="112" t="s">
        <v>112</v>
      </c>
      <c r="B61" s="107"/>
      <c r="C61" s="108"/>
      <c r="D61" s="109">
        <v>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9">
        <v>0</v>
      </c>
      <c r="K61" s="109">
        <v>0</v>
      </c>
      <c r="L61" s="109">
        <v>0</v>
      </c>
      <c r="M61" s="109">
        <v>0</v>
      </c>
      <c r="N61" s="109">
        <v>0</v>
      </c>
      <c r="O61" s="109">
        <f t="shared" ref="O61:O62" si="10">IF(SUM(D52:O52)&gt;0,SUM(D52:O52)*B61,0)</f>
        <v>0</v>
      </c>
      <c r="P61" s="109">
        <v>0</v>
      </c>
      <c r="Q61" s="109">
        <v>0</v>
      </c>
      <c r="R61" s="109">
        <v>0</v>
      </c>
      <c r="S61" s="109">
        <v>0</v>
      </c>
      <c r="T61" s="109">
        <v>0</v>
      </c>
      <c r="U61" s="109">
        <v>0</v>
      </c>
      <c r="V61" s="109">
        <v>0</v>
      </c>
      <c r="W61" s="109">
        <v>0</v>
      </c>
      <c r="X61" s="109">
        <v>0</v>
      </c>
      <c r="Y61" s="109">
        <v>0</v>
      </c>
      <c r="Z61" s="109">
        <v>0</v>
      </c>
      <c r="AA61" s="109">
        <f t="shared" ref="AA61:AA62" si="11">IF(SUM(P52:AA52)&gt;0,SUM(P52:AA52)*L61,0)</f>
        <v>0</v>
      </c>
      <c r="AB61" s="109">
        <v>0</v>
      </c>
      <c r="AC61" s="109">
        <v>0</v>
      </c>
      <c r="AD61" s="109">
        <v>0</v>
      </c>
      <c r="AE61" s="109">
        <v>0</v>
      </c>
      <c r="AF61" s="109">
        <v>0</v>
      </c>
      <c r="AG61" s="109">
        <v>0</v>
      </c>
      <c r="AH61" s="109">
        <v>0</v>
      </c>
      <c r="AI61" s="109">
        <v>0</v>
      </c>
      <c r="AJ61" s="109">
        <v>0</v>
      </c>
      <c r="AK61" s="109">
        <v>0</v>
      </c>
      <c r="AL61" s="109">
        <v>0</v>
      </c>
      <c r="AM61" s="109">
        <f t="shared" ref="AM61:AM62" si="12">IF(SUM(AB52:AM52)&gt;0,SUM(AB52:AM52)*X61,0)</f>
        <v>0</v>
      </c>
    </row>
    <row r="62" spans="1:39" ht="12" customHeight="1" outlineLevel="1">
      <c r="A62" s="106" t="s">
        <v>113</v>
      </c>
      <c r="B62" s="107">
        <v>0.19</v>
      </c>
      <c r="C62" s="108"/>
      <c r="D62" s="109">
        <v>0</v>
      </c>
      <c r="E62" s="109">
        <v>0</v>
      </c>
      <c r="F62" s="109">
        <v>0</v>
      </c>
      <c r="G62" s="109">
        <v>0</v>
      </c>
      <c r="H62" s="109">
        <v>0</v>
      </c>
      <c r="I62" s="109">
        <v>0</v>
      </c>
      <c r="J62" s="109">
        <v>0</v>
      </c>
      <c r="K62" s="109">
        <v>0</v>
      </c>
      <c r="L62" s="109">
        <v>0</v>
      </c>
      <c r="M62" s="109">
        <v>0</v>
      </c>
      <c r="N62" s="109">
        <v>0</v>
      </c>
      <c r="O62" s="109">
        <f t="shared" si="10"/>
        <v>0</v>
      </c>
      <c r="P62" s="109">
        <v>0</v>
      </c>
      <c r="Q62" s="109">
        <v>0</v>
      </c>
      <c r="R62" s="109">
        <v>0</v>
      </c>
      <c r="S62" s="109">
        <v>0</v>
      </c>
      <c r="T62" s="109">
        <v>0</v>
      </c>
      <c r="U62" s="109">
        <v>0</v>
      </c>
      <c r="V62" s="109">
        <v>0</v>
      </c>
      <c r="W62" s="109">
        <v>0</v>
      </c>
      <c r="X62" s="109">
        <v>0</v>
      </c>
      <c r="Y62" s="109">
        <v>0</v>
      </c>
      <c r="Z62" s="109">
        <v>0</v>
      </c>
      <c r="AA62" s="109">
        <f t="shared" si="11"/>
        <v>0</v>
      </c>
      <c r="AB62" s="109">
        <v>0</v>
      </c>
      <c r="AC62" s="109">
        <v>0</v>
      </c>
      <c r="AD62" s="109">
        <v>0</v>
      </c>
      <c r="AE62" s="109">
        <v>0</v>
      </c>
      <c r="AF62" s="109">
        <v>0</v>
      </c>
      <c r="AG62" s="109">
        <v>0</v>
      </c>
      <c r="AH62" s="109">
        <v>0</v>
      </c>
      <c r="AI62" s="109">
        <v>0</v>
      </c>
      <c r="AJ62" s="109">
        <v>0</v>
      </c>
      <c r="AK62" s="109">
        <v>0</v>
      </c>
      <c r="AL62" s="109">
        <v>0</v>
      </c>
      <c r="AM62" s="109">
        <f t="shared" si="12"/>
        <v>0</v>
      </c>
    </row>
    <row r="63" spans="1:39" ht="12" customHeight="1">
      <c r="A63" s="96"/>
      <c r="B63" s="80"/>
      <c r="C63" s="37"/>
      <c r="D63" s="37"/>
      <c r="E63" s="37"/>
      <c r="F63" s="37"/>
      <c r="G63" s="37"/>
      <c r="H63" s="42"/>
      <c r="I63" s="42"/>
      <c r="J63" s="42"/>
      <c r="K63" s="42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42"/>
      <c r="Y63" s="42"/>
      <c r="Z63" s="42"/>
      <c r="AA63" s="42"/>
      <c r="AB63" s="37"/>
      <c r="AC63" s="37"/>
      <c r="AD63" s="37"/>
      <c r="AE63" s="37"/>
      <c r="AF63" s="37"/>
      <c r="AG63" s="37"/>
      <c r="AH63" s="37"/>
      <c r="AI63" s="37"/>
      <c r="AJ63" s="42"/>
      <c r="AK63" s="42"/>
      <c r="AL63" s="42"/>
      <c r="AM63" s="42"/>
    </row>
    <row r="64" spans="1:39" ht="12" customHeight="1">
      <c r="A64" s="88" t="s">
        <v>114</v>
      </c>
      <c r="B64" s="91"/>
      <c r="C64" s="90"/>
      <c r="D64" s="90">
        <f t="shared" ref="D64:AM64" si="13">D53-D62</f>
        <v>-11508</v>
      </c>
      <c r="E64" s="90">
        <f t="shared" si="13"/>
        <v>-24589.599999999999</v>
      </c>
      <c r="F64" s="90">
        <f t="shared" si="13"/>
        <v>-24589.599999999999</v>
      </c>
      <c r="G64" s="90">
        <f t="shared" si="13"/>
        <v>25410.400000000001</v>
      </c>
      <c r="H64" s="90">
        <f t="shared" si="13"/>
        <v>-24589.599999999999</v>
      </c>
      <c r="I64" s="90">
        <f t="shared" si="13"/>
        <v>-24589.599999999999</v>
      </c>
      <c r="J64" s="90">
        <f t="shared" si="13"/>
        <v>-5849.5999999999985</v>
      </c>
      <c r="K64" s="90">
        <f t="shared" si="13"/>
        <v>-24589.599999999999</v>
      </c>
      <c r="L64" s="90">
        <f t="shared" si="13"/>
        <v>-5849.5999999999985</v>
      </c>
      <c r="M64" s="90">
        <f t="shared" si="13"/>
        <v>-24589.599999999999</v>
      </c>
      <c r="N64" s="90">
        <f t="shared" si="13"/>
        <v>-5849.5999999999985</v>
      </c>
      <c r="O64" s="90">
        <f t="shared" si="13"/>
        <v>-24589.599999999999</v>
      </c>
      <c r="P64" s="90">
        <f t="shared" si="13"/>
        <v>-7943.5999999999985</v>
      </c>
      <c r="Q64" s="90">
        <f t="shared" si="13"/>
        <v>-26683.599999999999</v>
      </c>
      <c r="R64" s="90">
        <f t="shared" si="13"/>
        <v>-7943.5999999999985</v>
      </c>
      <c r="S64" s="90">
        <f t="shared" si="13"/>
        <v>-26683.599999999999</v>
      </c>
      <c r="T64" s="90">
        <f t="shared" si="13"/>
        <v>-7943.5999999999985</v>
      </c>
      <c r="U64" s="90">
        <f t="shared" si="13"/>
        <v>-26683.599999999999</v>
      </c>
      <c r="V64" s="90">
        <f t="shared" si="13"/>
        <v>-7943.5999999999985</v>
      </c>
      <c r="W64" s="90">
        <f t="shared" si="13"/>
        <v>-26683.599999999999</v>
      </c>
      <c r="X64" s="90">
        <f t="shared" si="13"/>
        <v>-7943.5999999999985</v>
      </c>
      <c r="Y64" s="90">
        <f t="shared" si="13"/>
        <v>-26683.599999999999</v>
      </c>
      <c r="Z64" s="90">
        <f t="shared" si="13"/>
        <v>-7943.5999999999985</v>
      </c>
      <c r="AA64" s="90">
        <f t="shared" si="13"/>
        <v>-26683.599999999999</v>
      </c>
      <c r="AB64" s="90">
        <f t="shared" si="13"/>
        <v>-16324.599999999999</v>
      </c>
      <c r="AC64" s="90">
        <f t="shared" si="13"/>
        <v>2415.4000000000015</v>
      </c>
      <c r="AD64" s="90">
        <f t="shared" si="13"/>
        <v>-16324.599999999999</v>
      </c>
      <c r="AE64" s="90">
        <f t="shared" si="13"/>
        <v>2415.4000000000015</v>
      </c>
      <c r="AF64" s="90">
        <f t="shared" si="13"/>
        <v>-16324.599999999999</v>
      </c>
      <c r="AG64" s="90">
        <f t="shared" si="13"/>
        <v>-16324.599999999999</v>
      </c>
      <c r="AH64" s="90">
        <f t="shared" si="13"/>
        <v>-16324.599999999999</v>
      </c>
      <c r="AI64" s="90">
        <f t="shared" si="13"/>
        <v>2415.4000000000015</v>
      </c>
      <c r="AJ64" s="90">
        <f t="shared" si="13"/>
        <v>-16324.599999999999</v>
      </c>
      <c r="AK64" s="90">
        <f t="shared" si="13"/>
        <v>-16324.599999999999</v>
      </c>
      <c r="AL64" s="90">
        <f t="shared" si="13"/>
        <v>-16324.599999999999</v>
      </c>
      <c r="AM64" s="90">
        <f t="shared" si="13"/>
        <v>-16324.599999999999</v>
      </c>
    </row>
    <row r="65" spans="1:39" ht="12" customHeight="1">
      <c r="A65" s="101" t="s">
        <v>115</v>
      </c>
      <c r="B65" s="111"/>
      <c r="C65" s="37"/>
      <c r="D65" s="113">
        <f t="shared" ref="D65:AM65" si="14">IFERROR(D64/D25,0)</f>
        <v>0</v>
      </c>
      <c r="E65" s="113">
        <f t="shared" si="14"/>
        <v>0</v>
      </c>
      <c r="F65" s="113">
        <f t="shared" si="14"/>
        <v>0</v>
      </c>
      <c r="G65" s="113">
        <f t="shared" si="14"/>
        <v>0</v>
      </c>
      <c r="H65" s="113">
        <f t="shared" si="14"/>
        <v>0</v>
      </c>
      <c r="I65" s="113">
        <f t="shared" si="14"/>
        <v>0</v>
      </c>
      <c r="J65" s="113">
        <f t="shared" si="14"/>
        <v>-0.24373333333333327</v>
      </c>
      <c r="K65" s="113">
        <f t="shared" si="14"/>
        <v>0</v>
      </c>
      <c r="L65" s="113">
        <f t="shared" si="14"/>
        <v>-0.24373333333333327</v>
      </c>
      <c r="M65" s="113">
        <f t="shared" si="14"/>
        <v>0</v>
      </c>
      <c r="N65" s="113">
        <f t="shared" si="14"/>
        <v>-0.24373333333333327</v>
      </c>
      <c r="O65" s="113">
        <f t="shared" si="14"/>
        <v>0</v>
      </c>
      <c r="P65" s="113">
        <f t="shared" si="14"/>
        <v>-0.3309833333333333</v>
      </c>
      <c r="Q65" s="113">
        <f t="shared" si="14"/>
        <v>0</v>
      </c>
      <c r="R65" s="113">
        <f t="shared" si="14"/>
        <v>-0.3309833333333333</v>
      </c>
      <c r="S65" s="113">
        <f t="shared" si="14"/>
        <v>0</v>
      </c>
      <c r="T65" s="113">
        <f t="shared" si="14"/>
        <v>-0.3309833333333333</v>
      </c>
      <c r="U65" s="113">
        <f t="shared" si="14"/>
        <v>0</v>
      </c>
      <c r="V65" s="113">
        <f t="shared" si="14"/>
        <v>-0.3309833333333333</v>
      </c>
      <c r="W65" s="113">
        <f t="shared" si="14"/>
        <v>0</v>
      </c>
      <c r="X65" s="113">
        <f t="shared" si="14"/>
        <v>-0.3309833333333333</v>
      </c>
      <c r="Y65" s="113">
        <f t="shared" si="14"/>
        <v>0</v>
      </c>
      <c r="Z65" s="113">
        <f t="shared" si="14"/>
        <v>-0.3309833333333333</v>
      </c>
      <c r="AA65" s="113">
        <f t="shared" si="14"/>
        <v>0</v>
      </c>
      <c r="AB65" s="113">
        <f t="shared" si="14"/>
        <v>-0.68019166666666664</v>
      </c>
      <c r="AC65" s="113">
        <f t="shared" si="14"/>
        <v>5.0320833333333363E-2</v>
      </c>
      <c r="AD65" s="113">
        <f t="shared" si="14"/>
        <v>-0.68019166666666664</v>
      </c>
      <c r="AE65" s="113">
        <f t="shared" si="14"/>
        <v>5.0320833333333363E-2</v>
      </c>
      <c r="AF65" s="113">
        <f t="shared" si="14"/>
        <v>-0.68019166666666664</v>
      </c>
      <c r="AG65" s="113">
        <f t="shared" si="14"/>
        <v>-0.68019166666666664</v>
      </c>
      <c r="AH65" s="113">
        <f t="shared" si="14"/>
        <v>-0.68019166666666664</v>
      </c>
      <c r="AI65" s="113">
        <f t="shared" si="14"/>
        <v>5.0320833333333363E-2</v>
      </c>
      <c r="AJ65" s="113">
        <f t="shared" si="14"/>
        <v>-0.68019166666666664</v>
      </c>
      <c r="AK65" s="113">
        <f t="shared" si="14"/>
        <v>-0.68019166666666664</v>
      </c>
      <c r="AL65" s="113">
        <f t="shared" si="14"/>
        <v>-0.68019166666666664</v>
      </c>
      <c r="AM65" s="113">
        <f t="shared" si="14"/>
        <v>-0.68019166666666664</v>
      </c>
    </row>
    <row r="66" spans="1:39" ht="12" customHeight="1">
      <c r="A66" s="101"/>
      <c r="B66" s="111"/>
      <c r="C66" s="37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</row>
    <row r="67" spans="1:39" ht="12" customHeight="1">
      <c r="A67" s="48" t="s">
        <v>116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pans="1:39" ht="12" customHeight="1">
      <c r="A68" s="101"/>
      <c r="B68" s="111"/>
      <c r="C68" s="113"/>
      <c r="D68" s="37"/>
      <c r="E68" s="37"/>
      <c r="F68" s="37"/>
      <c r="G68" s="37"/>
      <c r="H68" s="43"/>
      <c r="I68" s="43"/>
      <c r="J68" s="43"/>
      <c r="K68" s="43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43"/>
      <c r="Y68" s="43"/>
      <c r="Z68" s="43"/>
      <c r="AA68" s="43"/>
      <c r="AB68" s="37"/>
      <c r="AC68" s="37"/>
      <c r="AD68" s="37"/>
      <c r="AE68" s="37"/>
      <c r="AF68" s="37"/>
      <c r="AG68" s="37"/>
      <c r="AH68" s="37"/>
      <c r="AI68" s="37"/>
      <c r="AJ68" s="43"/>
      <c r="AK68" s="43"/>
      <c r="AL68" s="43"/>
      <c r="AM68" s="43"/>
    </row>
    <row r="69" spans="1:39" ht="12" customHeight="1">
      <c r="A69" s="45" t="s">
        <v>22</v>
      </c>
      <c r="B69" s="111"/>
      <c r="C69" s="113"/>
      <c r="D69" s="114">
        <f>'Inputs - Products'!B18</f>
        <v>300000</v>
      </c>
      <c r="E69" s="114">
        <f t="shared" ref="E69:AM69" si="15">D76</f>
        <v>438492</v>
      </c>
      <c r="F69" s="114">
        <f t="shared" si="15"/>
        <v>413902.4</v>
      </c>
      <c r="G69" s="114">
        <f t="shared" si="15"/>
        <v>389312.80000000005</v>
      </c>
      <c r="H69" s="114">
        <f t="shared" si="15"/>
        <v>414723.20000000007</v>
      </c>
      <c r="I69" s="114">
        <f t="shared" si="15"/>
        <v>390133.60000000009</v>
      </c>
      <c r="J69" s="114">
        <f t="shared" si="15"/>
        <v>365544.00000000012</v>
      </c>
      <c r="K69" s="114">
        <f t="shared" si="15"/>
        <v>359694.40000000014</v>
      </c>
      <c r="L69" s="114">
        <f t="shared" si="15"/>
        <v>335104.80000000016</v>
      </c>
      <c r="M69" s="114">
        <f t="shared" si="15"/>
        <v>329255.20000000019</v>
      </c>
      <c r="N69" s="114">
        <f t="shared" si="15"/>
        <v>304665.60000000021</v>
      </c>
      <c r="O69" s="114">
        <f t="shared" si="15"/>
        <v>298816.00000000023</v>
      </c>
      <c r="P69" s="114">
        <f t="shared" si="15"/>
        <v>274226.40000000026</v>
      </c>
      <c r="Q69" s="114">
        <f t="shared" si="15"/>
        <v>366282.80000000028</v>
      </c>
      <c r="R69" s="114">
        <f t="shared" si="15"/>
        <v>339599.2000000003</v>
      </c>
      <c r="S69" s="114">
        <f t="shared" si="15"/>
        <v>331655.60000000033</v>
      </c>
      <c r="T69" s="114">
        <f t="shared" si="15"/>
        <v>304972.00000000035</v>
      </c>
      <c r="U69" s="114">
        <f t="shared" si="15"/>
        <v>297028.40000000037</v>
      </c>
      <c r="V69" s="114">
        <f t="shared" si="15"/>
        <v>270344.8000000004</v>
      </c>
      <c r="W69" s="114">
        <f t="shared" si="15"/>
        <v>262401.20000000042</v>
      </c>
      <c r="X69" s="114">
        <f t="shared" si="15"/>
        <v>235717.60000000041</v>
      </c>
      <c r="Y69" s="114">
        <f t="shared" si="15"/>
        <v>227774.00000000041</v>
      </c>
      <c r="Z69" s="114">
        <f t="shared" si="15"/>
        <v>201090.4000000004</v>
      </c>
      <c r="AA69" s="114">
        <f t="shared" si="15"/>
        <v>193146.8000000004</v>
      </c>
      <c r="AB69" s="114">
        <f t="shared" si="15"/>
        <v>166463.20000000039</v>
      </c>
      <c r="AC69" s="114">
        <f t="shared" si="15"/>
        <v>200138.60000000038</v>
      </c>
      <c r="AD69" s="114">
        <f t="shared" si="15"/>
        <v>202554.00000000038</v>
      </c>
      <c r="AE69" s="114">
        <f t="shared" si="15"/>
        <v>186229.40000000037</v>
      </c>
      <c r="AF69" s="114">
        <f t="shared" si="15"/>
        <v>188644.80000000037</v>
      </c>
      <c r="AG69" s="114">
        <f t="shared" si="15"/>
        <v>172320.20000000036</v>
      </c>
      <c r="AH69" s="114">
        <f t="shared" si="15"/>
        <v>155995.60000000036</v>
      </c>
      <c r="AI69" s="114">
        <f t="shared" si="15"/>
        <v>139671.00000000035</v>
      </c>
      <c r="AJ69" s="114">
        <f t="shared" si="15"/>
        <v>142086.40000000034</v>
      </c>
      <c r="AK69" s="114">
        <f t="shared" si="15"/>
        <v>125761.80000000034</v>
      </c>
      <c r="AL69" s="114">
        <f t="shared" si="15"/>
        <v>109437.20000000033</v>
      </c>
      <c r="AM69" s="114">
        <f t="shared" si="15"/>
        <v>93112.600000000326</v>
      </c>
    </row>
    <row r="70" spans="1:39" ht="12" customHeight="1" outlineLevel="1">
      <c r="A70" s="45"/>
      <c r="B70" s="111"/>
      <c r="C70" s="113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</row>
    <row r="71" spans="1:39" ht="12" customHeight="1" outlineLevel="1">
      <c r="A71" s="45" t="s">
        <v>117</v>
      </c>
      <c r="B71" s="111"/>
      <c r="C71" s="113"/>
      <c r="D71" s="114">
        <f t="shared" ref="D71:AM71" si="16">D64</f>
        <v>-11508</v>
      </c>
      <c r="E71" s="114">
        <f t="shared" si="16"/>
        <v>-24589.599999999999</v>
      </c>
      <c r="F71" s="114">
        <f t="shared" si="16"/>
        <v>-24589.599999999999</v>
      </c>
      <c r="G71" s="114">
        <f t="shared" si="16"/>
        <v>25410.400000000001</v>
      </c>
      <c r="H71" s="114">
        <f t="shared" si="16"/>
        <v>-24589.599999999999</v>
      </c>
      <c r="I71" s="114">
        <f t="shared" si="16"/>
        <v>-24589.599999999999</v>
      </c>
      <c r="J71" s="114">
        <f t="shared" si="16"/>
        <v>-5849.5999999999985</v>
      </c>
      <c r="K71" s="114">
        <f t="shared" si="16"/>
        <v>-24589.599999999999</v>
      </c>
      <c r="L71" s="114">
        <f t="shared" si="16"/>
        <v>-5849.5999999999985</v>
      </c>
      <c r="M71" s="114">
        <f t="shared" si="16"/>
        <v>-24589.599999999999</v>
      </c>
      <c r="N71" s="114">
        <f t="shared" si="16"/>
        <v>-5849.5999999999985</v>
      </c>
      <c r="O71" s="114">
        <f t="shared" si="16"/>
        <v>-24589.599999999999</v>
      </c>
      <c r="P71" s="114">
        <f t="shared" si="16"/>
        <v>-7943.5999999999985</v>
      </c>
      <c r="Q71" s="114">
        <f t="shared" si="16"/>
        <v>-26683.599999999999</v>
      </c>
      <c r="R71" s="114">
        <f t="shared" si="16"/>
        <v>-7943.5999999999985</v>
      </c>
      <c r="S71" s="114">
        <f t="shared" si="16"/>
        <v>-26683.599999999999</v>
      </c>
      <c r="T71" s="114">
        <f t="shared" si="16"/>
        <v>-7943.5999999999985</v>
      </c>
      <c r="U71" s="114">
        <f t="shared" si="16"/>
        <v>-26683.599999999999</v>
      </c>
      <c r="V71" s="114">
        <f t="shared" si="16"/>
        <v>-7943.5999999999985</v>
      </c>
      <c r="W71" s="114">
        <f t="shared" si="16"/>
        <v>-26683.599999999999</v>
      </c>
      <c r="X71" s="114">
        <f t="shared" si="16"/>
        <v>-7943.5999999999985</v>
      </c>
      <c r="Y71" s="114">
        <f t="shared" si="16"/>
        <v>-26683.599999999999</v>
      </c>
      <c r="Z71" s="114">
        <f t="shared" si="16"/>
        <v>-7943.5999999999985</v>
      </c>
      <c r="AA71" s="114">
        <f t="shared" si="16"/>
        <v>-26683.599999999999</v>
      </c>
      <c r="AB71" s="114">
        <f t="shared" si="16"/>
        <v>-16324.599999999999</v>
      </c>
      <c r="AC71" s="114">
        <f t="shared" si="16"/>
        <v>2415.4000000000015</v>
      </c>
      <c r="AD71" s="114">
        <f t="shared" si="16"/>
        <v>-16324.599999999999</v>
      </c>
      <c r="AE71" s="114">
        <f t="shared" si="16"/>
        <v>2415.4000000000015</v>
      </c>
      <c r="AF71" s="114">
        <f t="shared" si="16"/>
        <v>-16324.599999999999</v>
      </c>
      <c r="AG71" s="114">
        <f t="shared" si="16"/>
        <v>-16324.599999999999</v>
      </c>
      <c r="AH71" s="114">
        <f t="shared" si="16"/>
        <v>-16324.599999999999</v>
      </c>
      <c r="AI71" s="114">
        <f t="shared" si="16"/>
        <v>2415.4000000000015</v>
      </c>
      <c r="AJ71" s="114">
        <f t="shared" si="16"/>
        <v>-16324.599999999999</v>
      </c>
      <c r="AK71" s="114">
        <f t="shared" si="16"/>
        <v>-16324.599999999999</v>
      </c>
      <c r="AL71" s="114">
        <f t="shared" si="16"/>
        <v>-16324.599999999999</v>
      </c>
      <c r="AM71" s="114">
        <f t="shared" si="16"/>
        <v>-16324.599999999999</v>
      </c>
    </row>
    <row r="72" spans="1:39" ht="12" customHeight="1" outlineLevel="1">
      <c r="A72" s="45" t="s">
        <v>118</v>
      </c>
      <c r="B72" s="111"/>
      <c r="C72" s="113"/>
      <c r="D72" s="114">
        <f t="shared" ref="D72:AM72" si="17">D51</f>
        <v>150000</v>
      </c>
      <c r="E72" s="114">
        <f t="shared" si="17"/>
        <v>0</v>
      </c>
      <c r="F72" s="114">
        <f t="shared" si="17"/>
        <v>0</v>
      </c>
      <c r="G72" s="114">
        <f t="shared" si="17"/>
        <v>0</v>
      </c>
      <c r="H72" s="114">
        <f t="shared" si="17"/>
        <v>0</v>
      </c>
      <c r="I72" s="114">
        <f t="shared" si="17"/>
        <v>0</v>
      </c>
      <c r="J72" s="114">
        <f t="shared" si="17"/>
        <v>0</v>
      </c>
      <c r="K72" s="114">
        <f t="shared" si="17"/>
        <v>0</v>
      </c>
      <c r="L72" s="114">
        <f t="shared" si="17"/>
        <v>0</v>
      </c>
      <c r="M72" s="114">
        <f t="shared" si="17"/>
        <v>0</v>
      </c>
      <c r="N72" s="114">
        <f t="shared" si="17"/>
        <v>0</v>
      </c>
      <c r="O72" s="114">
        <f t="shared" si="17"/>
        <v>0</v>
      </c>
      <c r="P72" s="114">
        <f t="shared" si="17"/>
        <v>100000</v>
      </c>
      <c r="Q72" s="114">
        <f t="shared" si="17"/>
        <v>0</v>
      </c>
      <c r="R72" s="114">
        <f t="shared" si="17"/>
        <v>0</v>
      </c>
      <c r="S72" s="114">
        <f t="shared" si="17"/>
        <v>0</v>
      </c>
      <c r="T72" s="114">
        <f t="shared" si="17"/>
        <v>0</v>
      </c>
      <c r="U72" s="114">
        <f t="shared" si="17"/>
        <v>0</v>
      </c>
      <c r="V72" s="114">
        <f t="shared" si="17"/>
        <v>0</v>
      </c>
      <c r="W72" s="114">
        <f t="shared" si="17"/>
        <v>0</v>
      </c>
      <c r="X72" s="114">
        <f t="shared" si="17"/>
        <v>0</v>
      </c>
      <c r="Y72" s="114">
        <f t="shared" si="17"/>
        <v>0</v>
      </c>
      <c r="Z72" s="114">
        <f t="shared" si="17"/>
        <v>0</v>
      </c>
      <c r="AA72" s="114">
        <f t="shared" si="17"/>
        <v>0</v>
      </c>
      <c r="AB72" s="114">
        <f t="shared" si="17"/>
        <v>50000</v>
      </c>
      <c r="AC72" s="114">
        <f t="shared" si="17"/>
        <v>0</v>
      </c>
      <c r="AD72" s="114">
        <f t="shared" si="17"/>
        <v>0</v>
      </c>
      <c r="AE72" s="114">
        <f t="shared" si="17"/>
        <v>0</v>
      </c>
      <c r="AF72" s="114">
        <f t="shared" si="17"/>
        <v>0</v>
      </c>
      <c r="AG72" s="114">
        <f t="shared" si="17"/>
        <v>0</v>
      </c>
      <c r="AH72" s="114">
        <f t="shared" si="17"/>
        <v>0</v>
      </c>
      <c r="AI72" s="114">
        <f t="shared" si="17"/>
        <v>0</v>
      </c>
      <c r="AJ72" s="114">
        <f t="shared" si="17"/>
        <v>0</v>
      </c>
      <c r="AK72" s="114">
        <f t="shared" si="17"/>
        <v>0</v>
      </c>
      <c r="AL72" s="114">
        <f t="shared" si="17"/>
        <v>0</v>
      </c>
      <c r="AM72" s="114">
        <f t="shared" si="17"/>
        <v>0</v>
      </c>
    </row>
    <row r="73" spans="1:39" ht="12" customHeight="1" outlineLevel="1">
      <c r="A73" s="45" t="s">
        <v>119</v>
      </c>
      <c r="B73" s="111"/>
      <c r="C73" s="113"/>
      <c r="D73" s="114">
        <f t="shared" ref="D73:AM73" si="18">D52</f>
        <v>0</v>
      </c>
      <c r="E73" s="114">
        <f t="shared" si="18"/>
        <v>0</v>
      </c>
      <c r="F73" s="114">
        <f t="shared" si="18"/>
        <v>0</v>
      </c>
      <c r="G73" s="114">
        <f t="shared" si="18"/>
        <v>0</v>
      </c>
      <c r="H73" s="114">
        <f t="shared" si="18"/>
        <v>0</v>
      </c>
      <c r="I73" s="114">
        <f t="shared" si="18"/>
        <v>0</v>
      </c>
      <c r="J73" s="114">
        <f t="shared" si="18"/>
        <v>0</v>
      </c>
      <c r="K73" s="114">
        <f t="shared" si="18"/>
        <v>0</v>
      </c>
      <c r="L73" s="114">
        <f t="shared" si="18"/>
        <v>0</v>
      </c>
      <c r="M73" s="114">
        <f t="shared" si="18"/>
        <v>0</v>
      </c>
      <c r="N73" s="114">
        <f t="shared" si="18"/>
        <v>0</v>
      </c>
      <c r="O73" s="114">
        <f t="shared" si="18"/>
        <v>0</v>
      </c>
      <c r="P73" s="114">
        <f t="shared" si="18"/>
        <v>0</v>
      </c>
      <c r="Q73" s="114">
        <f t="shared" si="18"/>
        <v>0</v>
      </c>
      <c r="R73" s="114">
        <f t="shared" si="18"/>
        <v>0</v>
      </c>
      <c r="S73" s="114">
        <f t="shared" si="18"/>
        <v>0</v>
      </c>
      <c r="T73" s="114">
        <f t="shared" si="18"/>
        <v>0</v>
      </c>
      <c r="U73" s="114">
        <f t="shared" si="18"/>
        <v>0</v>
      </c>
      <c r="V73" s="114">
        <f t="shared" si="18"/>
        <v>0</v>
      </c>
      <c r="W73" s="114">
        <f t="shared" si="18"/>
        <v>0</v>
      </c>
      <c r="X73" s="114">
        <f t="shared" si="18"/>
        <v>0</v>
      </c>
      <c r="Y73" s="114">
        <f t="shared" si="18"/>
        <v>0</v>
      </c>
      <c r="Z73" s="114">
        <f t="shared" si="18"/>
        <v>0</v>
      </c>
      <c r="AA73" s="114">
        <f t="shared" si="18"/>
        <v>0</v>
      </c>
      <c r="AB73" s="114">
        <f t="shared" si="18"/>
        <v>0</v>
      </c>
      <c r="AC73" s="114">
        <f t="shared" si="18"/>
        <v>0</v>
      </c>
      <c r="AD73" s="114">
        <f t="shared" si="18"/>
        <v>0</v>
      </c>
      <c r="AE73" s="114">
        <f t="shared" si="18"/>
        <v>0</v>
      </c>
      <c r="AF73" s="114">
        <f t="shared" si="18"/>
        <v>0</v>
      </c>
      <c r="AG73" s="114">
        <f t="shared" si="18"/>
        <v>0</v>
      </c>
      <c r="AH73" s="114">
        <f t="shared" si="18"/>
        <v>0</v>
      </c>
      <c r="AI73" s="114">
        <f t="shared" si="18"/>
        <v>0</v>
      </c>
      <c r="AJ73" s="114">
        <f t="shared" si="18"/>
        <v>0</v>
      </c>
      <c r="AK73" s="114">
        <f t="shared" si="18"/>
        <v>0</v>
      </c>
      <c r="AL73" s="114">
        <f t="shared" si="18"/>
        <v>0</v>
      </c>
      <c r="AM73" s="114">
        <f t="shared" si="18"/>
        <v>0</v>
      </c>
    </row>
    <row r="74" spans="1:39" ht="12" customHeight="1" outlineLevel="1">
      <c r="A74" s="106" t="s">
        <v>120</v>
      </c>
      <c r="B74" s="107"/>
      <c r="C74" s="108"/>
      <c r="D74" s="109">
        <v>0</v>
      </c>
      <c r="E74" s="109">
        <v>0</v>
      </c>
      <c r="F74" s="109">
        <v>0</v>
      </c>
      <c r="G74" s="109">
        <v>0</v>
      </c>
      <c r="H74" s="109">
        <v>0</v>
      </c>
      <c r="I74" s="109">
        <v>0</v>
      </c>
      <c r="J74" s="109">
        <v>0</v>
      </c>
      <c r="K74" s="109">
        <v>0</v>
      </c>
      <c r="L74" s="109">
        <v>0</v>
      </c>
      <c r="M74" s="109">
        <v>0</v>
      </c>
      <c r="N74" s="109">
        <v>0</v>
      </c>
      <c r="O74" s="109">
        <v>0</v>
      </c>
      <c r="P74" s="109">
        <v>0</v>
      </c>
      <c r="Q74" s="109">
        <v>0</v>
      </c>
      <c r="R74" s="109">
        <v>0</v>
      </c>
      <c r="S74" s="109">
        <v>0</v>
      </c>
      <c r="T74" s="109">
        <v>0</v>
      </c>
      <c r="U74" s="109">
        <v>0</v>
      </c>
      <c r="V74" s="109">
        <v>0</v>
      </c>
      <c r="W74" s="109">
        <v>0</v>
      </c>
      <c r="X74" s="109">
        <v>0</v>
      </c>
      <c r="Y74" s="109">
        <v>0</v>
      </c>
      <c r="Z74" s="109">
        <v>0</v>
      </c>
      <c r="AA74" s="109">
        <v>0</v>
      </c>
      <c r="AB74" s="109">
        <v>0</v>
      </c>
      <c r="AC74" s="109">
        <v>0</v>
      </c>
      <c r="AD74" s="109">
        <v>0</v>
      </c>
      <c r="AE74" s="109">
        <v>0</v>
      </c>
      <c r="AF74" s="109">
        <v>0</v>
      </c>
      <c r="AG74" s="109">
        <v>0</v>
      </c>
      <c r="AH74" s="109">
        <v>0</v>
      </c>
      <c r="AI74" s="109">
        <v>0</v>
      </c>
      <c r="AJ74" s="109">
        <v>0</v>
      </c>
      <c r="AK74" s="109">
        <v>0</v>
      </c>
      <c r="AL74" s="109">
        <v>0</v>
      </c>
      <c r="AM74" s="109">
        <v>0</v>
      </c>
    </row>
    <row r="75" spans="1:39" ht="12" customHeight="1" outlineLevel="1">
      <c r="A75" s="37"/>
      <c r="B75" s="111"/>
      <c r="C75" s="113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</row>
    <row r="76" spans="1:39" ht="12" customHeight="1">
      <c r="A76" s="115" t="s">
        <v>121</v>
      </c>
      <c r="B76" s="115"/>
      <c r="C76" s="115"/>
      <c r="D76" s="115">
        <f t="shared" ref="D76:AM76" si="19">SUM(D69:D73)-D74</f>
        <v>438492</v>
      </c>
      <c r="E76" s="115">
        <f t="shared" si="19"/>
        <v>413902.4</v>
      </c>
      <c r="F76" s="115">
        <f t="shared" si="19"/>
        <v>389312.80000000005</v>
      </c>
      <c r="G76" s="115">
        <f t="shared" si="19"/>
        <v>414723.20000000007</v>
      </c>
      <c r="H76" s="115">
        <f t="shared" si="19"/>
        <v>390133.60000000009</v>
      </c>
      <c r="I76" s="115">
        <f t="shared" si="19"/>
        <v>365544.00000000012</v>
      </c>
      <c r="J76" s="115">
        <f t="shared" si="19"/>
        <v>359694.40000000014</v>
      </c>
      <c r="K76" s="115">
        <f t="shared" si="19"/>
        <v>335104.80000000016</v>
      </c>
      <c r="L76" s="115">
        <f t="shared" si="19"/>
        <v>329255.20000000019</v>
      </c>
      <c r="M76" s="115">
        <f t="shared" si="19"/>
        <v>304665.60000000021</v>
      </c>
      <c r="N76" s="115">
        <f t="shared" si="19"/>
        <v>298816.00000000023</v>
      </c>
      <c r="O76" s="115">
        <f t="shared" si="19"/>
        <v>274226.40000000026</v>
      </c>
      <c r="P76" s="115">
        <f t="shared" si="19"/>
        <v>366282.80000000028</v>
      </c>
      <c r="Q76" s="115">
        <f t="shared" si="19"/>
        <v>339599.2000000003</v>
      </c>
      <c r="R76" s="115">
        <f t="shared" si="19"/>
        <v>331655.60000000033</v>
      </c>
      <c r="S76" s="115">
        <f t="shared" si="19"/>
        <v>304972.00000000035</v>
      </c>
      <c r="T76" s="115">
        <f t="shared" si="19"/>
        <v>297028.40000000037</v>
      </c>
      <c r="U76" s="115">
        <f t="shared" si="19"/>
        <v>270344.8000000004</v>
      </c>
      <c r="V76" s="115">
        <f t="shared" si="19"/>
        <v>262401.20000000042</v>
      </c>
      <c r="W76" s="115">
        <f t="shared" si="19"/>
        <v>235717.60000000041</v>
      </c>
      <c r="X76" s="115">
        <f t="shared" si="19"/>
        <v>227774.00000000041</v>
      </c>
      <c r="Y76" s="115">
        <f t="shared" si="19"/>
        <v>201090.4000000004</v>
      </c>
      <c r="Z76" s="115">
        <f t="shared" si="19"/>
        <v>193146.8000000004</v>
      </c>
      <c r="AA76" s="115">
        <f t="shared" si="19"/>
        <v>166463.20000000039</v>
      </c>
      <c r="AB76" s="115">
        <f t="shared" si="19"/>
        <v>200138.60000000038</v>
      </c>
      <c r="AC76" s="115">
        <f t="shared" si="19"/>
        <v>202554.00000000038</v>
      </c>
      <c r="AD76" s="115">
        <f t="shared" si="19"/>
        <v>186229.40000000037</v>
      </c>
      <c r="AE76" s="115">
        <f t="shared" si="19"/>
        <v>188644.80000000037</v>
      </c>
      <c r="AF76" s="115">
        <f t="shared" si="19"/>
        <v>172320.20000000036</v>
      </c>
      <c r="AG76" s="115">
        <f t="shared" si="19"/>
        <v>155995.60000000036</v>
      </c>
      <c r="AH76" s="115">
        <f t="shared" si="19"/>
        <v>139671.00000000035</v>
      </c>
      <c r="AI76" s="115">
        <f t="shared" si="19"/>
        <v>142086.40000000034</v>
      </c>
      <c r="AJ76" s="115">
        <f t="shared" si="19"/>
        <v>125761.80000000034</v>
      </c>
      <c r="AK76" s="115">
        <f t="shared" si="19"/>
        <v>109437.20000000033</v>
      </c>
      <c r="AL76" s="115">
        <f t="shared" si="19"/>
        <v>93112.600000000326</v>
      </c>
      <c r="AM76" s="115">
        <f t="shared" si="19"/>
        <v>76788.00000000032</v>
      </c>
    </row>
    <row r="77" spans="1:39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</row>
    <row r="78" spans="1:39" ht="15.75" customHeight="1"/>
    <row r="79" spans="1:39" ht="15.75" customHeight="1"/>
    <row r="80" spans="1:3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29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topLeftCell="A9" workbookViewId="0"/>
  </sheetViews>
  <sheetFormatPr defaultColWidth="11.19921875" defaultRowHeight="15" customHeight="1" outlineLevelRow="1"/>
  <cols>
    <col min="1" max="26" width="10.59765625" customWidth="1"/>
  </cols>
  <sheetData>
    <row r="1" spans="1:26" ht="15.75" customHeight="1">
      <c r="A1" s="96"/>
      <c r="B1" s="113"/>
      <c r="C1" s="116" t="s">
        <v>122</v>
      </c>
      <c r="D1" s="116" t="s">
        <v>123</v>
      </c>
      <c r="E1" s="117" t="s">
        <v>124</v>
      </c>
      <c r="F1" s="118" t="s">
        <v>125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>
      <c r="A2" s="96" t="s">
        <v>126</v>
      </c>
      <c r="B2" s="39"/>
      <c r="C2" s="45"/>
      <c r="D2" s="45"/>
      <c r="E2" s="45"/>
      <c r="F2" s="96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outlineLevel="1">
      <c r="A3" s="119" t="str">
        <f>'Forecast - Cashflow'!A9</f>
        <v>Isotretinoin Monitoring App - Annual Provider Subscription</v>
      </c>
      <c r="B3" s="39"/>
      <c r="C3" s="37">
        <f>SUM('Forecast - Cashflow'!D9:O9)</f>
        <v>3</v>
      </c>
      <c r="D3" s="37">
        <f>SUM('Forecast - Cashflow'!P9:AA9)</f>
        <v>6</v>
      </c>
      <c r="E3" s="37">
        <f>SUM('Forecast - Cashflow'!AB9:AM9)</f>
        <v>15</v>
      </c>
      <c r="F3" s="120">
        <f t="shared" ref="F3:F8" si="0">SUM(C3:E3)</f>
        <v>24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 outlineLevel="1">
      <c r="A4" s="119" t="str">
        <f>'Forecast - Cashflow'!A10</f>
        <v>Product 2</v>
      </c>
      <c r="B4" s="39"/>
      <c r="C4" s="37">
        <f>SUM('Forecast - Cashflow'!D10:O10)</f>
        <v>0</v>
      </c>
      <c r="D4" s="37">
        <f>SUM('Forecast - Cashflow'!P10:AA10)</f>
        <v>0</v>
      </c>
      <c r="E4" s="37">
        <f>SUM('Forecast - Cashflow'!AB10:AM10)</f>
        <v>0</v>
      </c>
      <c r="F4" s="120">
        <f t="shared" si="0"/>
        <v>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 outlineLevel="1">
      <c r="A5" s="119" t="str">
        <f>'Forecast - Cashflow'!A11</f>
        <v>Product 3</v>
      </c>
      <c r="B5" s="39"/>
      <c r="C5" s="37">
        <f>SUM('Forecast - Cashflow'!D11:O11)</f>
        <v>0</v>
      </c>
      <c r="D5" s="37">
        <f>SUM('Forecast - Cashflow'!P11:AA11)</f>
        <v>0</v>
      </c>
      <c r="E5" s="37">
        <f>SUM('Forecast - Cashflow'!AB11:AM11)</f>
        <v>0</v>
      </c>
      <c r="F5" s="120">
        <f t="shared" si="0"/>
        <v>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 outlineLevel="1">
      <c r="A6" s="119" t="str">
        <f>'Forecast - Cashflow'!A12</f>
        <v>Product 4</v>
      </c>
      <c r="B6" s="39"/>
      <c r="C6" s="37">
        <f>SUM('Forecast - Cashflow'!D12:O12)</f>
        <v>0</v>
      </c>
      <c r="D6" s="37">
        <f>SUM('Forecast - Cashflow'!P12:AA12)</f>
        <v>0</v>
      </c>
      <c r="E6" s="37">
        <f>SUM('Forecast - Cashflow'!AB12:AM12)</f>
        <v>0</v>
      </c>
      <c r="F6" s="120">
        <f t="shared" si="0"/>
        <v>0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 outlineLevel="1">
      <c r="A7" s="119" t="str">
        <f>'Forecast - Cashflow'!A13</f>
        <v>Product 5</v>
      </c>
      <c r="B7" s="39"/>
      <c r="C7" s="37">
        <f>SUM('Forecast - Cashflow'!D13:O13)</f>
        <v>0</v>
      </c>
      <c r="D7" s="37">
        <f>SUM('Forecast - Cashflow'!P13:AA13)</f>
        <v>0</v>
      </c>
      <c r="E7" s="37">
        <f>SUM('Forecast - Cashflow'!AB13:AM13)</f>
        <v>0</v>
      </c>
      <c r="F7" s="120">
        <f t="shared" si="0"/>
        <v>0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 outlineLevel="1">
      <c r="A8" s="119" t="str">
        <f>'Forecast - Cashflow'!A14</f>
        <v>Product 6</v>
      </c>
      <c r="B8" s="39"/>
      <c r="C8" s="37">
        <f>SUM('Forecast - Cashflow'!D14:O14)</f>
        <v>0</v>
      </c>
      <c r="D8" s="37">
        <f>SUM('Forecast - Cashflow'!P14:AA14)</f>
        <v>0</v>
      </c>
      <c r="E8" s="37">
        <f>SUM('Forecast - Cashflow'!AB14:AM14)</f>
        <v>0</v>
      </c>
      <c r="F8" s="120">
        <f t="shared" si="0"/>
        <v>0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>
      <c r="A9" s="88" t="s">
        <v>127</v>
      </c>
      <c r="B9" s="88"/>
      <c r="C9" s="121">
        <f t="shared" ref="C9:F9" si="1">SUM(C3:C8)</f>
        <v>3</v>
      </c>
      <c r="D9" s="121">
        <f t="shared" si="1"/>
        <v>6</v>
      </c>
      <c r="E9" s="121">
        <f t="shared" si="1"/>
        <v>15</v>
      </c>
      <c r="F9" s="121">
        <f t="shared" si="1"/>
        <v>24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>
      <c r="A10" s="96"/>
      <c r="B10" s="122"/>
      <c r="C10" s="45"/>
      <c r="D10" s="45"/>
      <c r="E10" s="45"/>
      <c r="F10" s="9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>
      <c r="A11" s="123" t="s">
        <v>128</v>
      </c>
      <c r="B11" s="37"/>
      <c r="C11" s="124">
        <f t="shared" ref="C11:F11" si="2">IFERROR(C19/C9,0)</f>
        <v>24000</v>
      </c>
      <c r="D11" s="124">
        <f t="shared" si="2"/>
        <v>24000</v>
      </c>
      <c r="E11" s="124">
        <f t="shared" si="2"/>
        <v>24000</v>
      </c>
      <c r="F11" s="124">
        <f t="shared" si="2"/>
        <v>24000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>
      <c r="A12" s="41" t="s">
        <v>129</v>
      </c>
      <c r="B12" s="39"/>
      <c r="C12" s="45"/>
      <c r="D12" s="45"/>
      <c r="E12" s="45"/>
      <c r="F12" s="96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 outlineLevel="1">
      <c r="A13" s="119" t="str">
        <f>'Forecast - Cashflow'!A19</f>
        <v>Isotretinoin Monitoring App - Annual Provider Subscription</v>
      </c>
      <c r="B13" s="125"/>
      <c r="C13" s="126">
        <f>SUM('Forecast - Cashflow'!D19:O19)</f>
        <v>72000</v>
      </c>
      <c r="D13" s="126">
        <f>SUM('Forecast - Cashflow'!P19:AA19)</f>
        <v>144000</v>
      </c>
      <c r="E13" s="127">
        <f>SUM('Forecast - Cashflow'!AB19:AM19)</f>
        <v>360000</v>
      </c>
      <c r="F13" s="128">
        <f t="shared" ref="F13:F18" si="3">SUM(C13:E13)</f>
        <v>576000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 outlineLevel="1">
      <c r="A14" s="119" t="str">
        <f>'Forecast - Cashflow'!A20</f>
        <v>Product 2</v>
      </c>
      <c r="B14" s="125"/>
      <c r="C14" s="126">
        <f>SUM('Forecast - Cashflow'!D20:O20)</f>
        <v>0</v>
      </c>
      <c r="D14" s="126">
        <f>SUM('Forecast - Cashflow'!P20:AA20)</f>
        <v>0</v>
      </c>
      <c r="E14" s="127">
        <f>SUM('Forecast - Cashflow'!AB20:AM20)</f>
        <v>0</v>
      </c>
      <c r="F14" s="128">
        <f t="shared" si="3"/>
        <v>0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 outlineLevel="1">
      <c r="A15" s="119" t="str">
        <f>'Forecast - Cashflow'!A21</f>
        <v>Product 3</v>
      </c>
      <c r="B15" s="125"/>
      <c r="C15" s="126">
        <f>SUM('Forecast - Cashflow'!D21:O21)</f>
        <v>0</v>
      </c>
      <c r="D15" s="126">
        <f>SUM('Forecast - Cashflow'!P21:AA21)</f>
        <v>0</v>
      </c>
      <c r="E15" s="127">
        <f>SUM('Forecast - Cashflow'!AB21:AM21)</f>
        <v>0</v>
      </c>
      <c r="F15" s="128">
        <f t="shared" si="3"/>
        <v>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customHeight="1" outlineLevel="1">
      <c r="A16" s="119" t="str">
        <f>'Forecast - Cashflow'!A22</f>
        <v>Product 4</v>
      </c>
      <c r="B16" s="125"/>
      <c r="C16" s="126">
        <f>SUM('Forecast - Cashflow'!D22:O22)</f>
        <v>0</v>
      </c>
      <c r="D16" s="126">
        <f>SUM('Forecast - Cashflow'!P22:AA22)</f>
        <v>0</v>
      </c>
      <c r="E16" s="127">
        <f>SUM('Forecast - Cashflow'!AB22:AM22)</f>
        <v>0</v>
      </c>
      <c r="F16" s="128">
        <f t="shared" si="3"/>
        <v>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 outlineLevel="1">
      <c r="A17" s="119" t="str">
        <f>'Forecast - Cashflow'!A23</f>
        <v>Product 5</v>
      </c>
      <c r="B17" s="125"/>
      <c r="C17" s="126">
        <f>SUM('Forecast - Cashflow'!D23:O23)</f>
        <v>0</v>
      </c>
      <c r="D17" s="126">
        <f>SUM('Forecast - Cashflow'!P23:AA23)</f>
        <v>0</v>
      </c>
      <c r="E17" s="127">
        <f>SUM('Forecast - Cashflow'!AB23:AM23)</f>
        <v>0</v>
      </c>
      <c r="F17" s="128">
        <f t="shared" si="3"/>
        <v>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 outlineLevel="1">
      <c r="A18" s="119" t="str">
        <f>'Forecast - Cashflow'!A24</f>
        <v>Product 6</v>
      </c>
      <c r="B18" s="125"/>
      <c r="C18" s="126">
        <f>SUM('Forecast - Cashflow'!D24:O24)</f>
        <v>0</v>
      </c>
      <c r="D18" s="126">
        <f>SUM('Forecast - Cashflow'!P24:AA24)</f>
        <v>0</v>
      </c>
      <c r="E18" s="127">
        <f>SUM('Forecast - Cashflow'!AB24:AM24)</f>
        <v>0</v>
      </c>
      <c r="F18" s="128">
        <f t="shared" si="3"/>
        <v>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>
      <c r="A19" s="88" t="s">
        <v>41</v>
      </c>
      <c r="B19" s="129"/>
      <c r="C19" s="130">
        <f t="shared" ref="C19:F19" si="4">SUM(C13:C18)</f>
        <v>72000</v>
      </c>
      <c r="D19" s="130">
        <f t="shared" si="4"/>
        <v>144000</v>
      </c>
      <c r="E19" s="130">
        <f t="shared" si="4"/>
        <v>360000</v>
      </c>
      <c r="F19" s="130">
        <f t="shared" si="4"/>
        <v>576000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>
      <c r="A20" s="96"/>
      <c r="B20" s="131"/>
      <c r="C20" s="37"/>
      <c r="D20" s="132"/>
      <c r="E20" s="132"/>
      <c r="F20" s="12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41" t="s">
        <v>93</v>
      </c>
      <c r="B21" s="39"/>
      <c r="C21" s="45"/>
      <c r="D21" s="45"/>
      <c r="E21" s="45"/>
      <c r="F21" s="96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hidden="1" customHeight="1" outlineLevel="1">
      <c r="A22" s="119" t="str">
        <f>'Forecast - Cashflow'!A19</f>
        <v>Isotretinoin Monitoring App - Annual Provider Subscription</v>
      </c>
      <c r="B22" s="39"/>
      <c r="C22" s="133">
        <f>SUM('Forecast - Cashflow'!D29:O29)</f>
        <v>15780</v>
      </c>
      <c r="D22" s="133">
        <f>SUM('Forecast - Cashflow'!P29:AA29)</f>
        <v>31560</v>
      </c>
      <c r="E22" s="133">
        <f>SUM('Forecast - Cashflow'!AB29:AM29)</f>
        <v>78900</v>
      </c>
      <c r="F22" s="81">
        <f t="shared" ref="F22:F27" si="5">SUM(C22:E22)</f>
        <v>126240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hidden="1" customHeight="1" outlineLevel="1">
      <c r="A23" s="119" t="str">
        <f>'Forecast - Cashflow'!A20</f>
        <v>Product 2</v>
      </c>
      <c r="B23" s="39"/>
      <c r="C23" s="133">
        <f>SUM('Forecast - Cashflow'!D30:O30)</f>
        <v>0</v>
      </c>
      <c r="D23" s="133">
        <f>SUM('Forecast - Cashflow'!P30:AA30)</f>
        <v>0</v>
      </c>
      <c r="E23" s="133">
        <f>SUM('Forecast - Cashflow'!AB30:AM30)</f>
        <v>0</v>
      </c>
      <c r="F23" s="81">
        <f t="shared" si="5"/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hidden="1" customHeight="1" outlineLevel="1">
      <c r="A24" s="119" t="str">
        <f>'Forecast - Cashflow'!A21</f>
        <v>Product 3</v>
      </c>
      <c r="B24" s="39"/>
      <c r="C24" s="133">
        <f>SUM('Forecast - Cashflow'!D31:O31)</f>
        <v>0</v>
      </c>
      <c r="D24" s="133">
        <f>SUM('Forecast - Cashflow'!P31:AA31)</f>
        <v>0</v>
      </c>
      <c r="E24" s="133">
        <f>SUM('Forecast - Cashflow'!AB31:AM31)</f>
        <v>0</v>
      </c>
      <c r="F24" s="81">
        <f t="shared" si="5"/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hidden="1" customHeight="1" outlineLevel="1">
      <c r="A25" s="119" t="str">
        <f>'Forecast - Cashflow'!A22</f>
        <v>Product 4</v>
      </c>
      <c r="B25" s="39"/>
      <c r="C25" s="133">
        <f>SUM('Forecast - Cashflow'!D32:O32)</f>
        <v>0</v>
      </c>
      <c r="D25" s="133">
        <f>SUM('Forecast - Cashflow'!P32:AA32)</f>
        <v>0</v>
      </c>
      <c r="E25" s="133">
        <f>SUM('Forecast - Cashflow'!AB32:AM32)</f>
        <v>0</v>
      </c>
      <c r="F25" s="81">
        <f t="shared" si="5"/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hidden="1" customHeight="1" outlineLevel="1">
      <c r="A26" s="119" t="str">
        <f>'Forecast - Cashflow'!A23</f>
        <v>Product 5</v>
      </c>
      <c r="B26" s="39"/>
      <c r="C26" s="133">
        <f>SUM('Forecast - Cashflow'!D33:O33)</f>
        <v>0</v>
      </c>
      <c r="D26" s="133">
        <f>SUM('Forecast - Cashflow'!P33:AA33)</f>
        <v>0</v>
      </c>
      <c r="E26" s="133">
        <f>SUM('Forecast - Cashflow'!AB33:AM33)</f>
        <v>0</v>
      </c>
      <c r="F26" s="81">
        <f t="shared" si="5"/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hidden="1" customHeight="1" outlineLevel="1">
      <c r="A27" s="119" t="str">
        <f>'Forecast - Cashflow'!A24</f>
        <v>Product 6</v>
      </c>
      <c r="B27" s="39"/>
      <c r="C27" s="133">
        <f>SUM('Forecast - Cashflow'!D34:O34)</f>
        <v>0</v>
      </c>
      <c r="D27" s="133">
        <f>SUM('Forecast - Cashflow'!P34:AA34)</f>
        <v>0</v>
      </c>
      <c r="E27" s="133">
        <f>SUM('Forecast - Cashflow'!AB34:AM34)</f>
        <v>0</v>
      </c>
      <c r="F27" s="81">
        <f t="shared" si="5"/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collapsed="1">
      <c r="A28" s="88" t="s">
        <v>95</v>
      </c>
      <c r="B28" s="88"/>
      <c r="C28" s="90">
        <f t="shared" ref="C28:F28" si="6">SUM(C22:C27)</f>
        <v>15780</v>
      </c>
      <c r="D28" s="90">
        <f t="shared" si="6"/>
        <v>31560</v>
      </c>
      <c r="E28" s="90">
        <f t="shared" si="6"/>
        <v>78900</v>
      </c>
      <c r="F28" s="90">
        <f t="shared" si="6"/>
        <v>126240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96"/>
      <c r="B29" s="131"/>
      <c r="C29" s="37"/>
      <c r="D29" s="132"/>
      <c r="E29" s="132"/>
      <c r="F29" s="120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88" t="s">
        <v>96</v>
      </c>
      <c r="B30" s="134"/>
      <c r="C30" s="90">
        <f t="shared" ref="C30:F30" si="7">C19-C28</f>
        <v>56220</v>
      </c>
      <c r="D30" s="90">
        <f t="shared" si="7"/>
        <v>112440</v>
      </c>
      <c r="E30" s="90">
        <f t="shared" si="7"/>
        <v>281100</v>
      </c>
      <c r="F30" s="90">
        <f t="shared" si="7"/>
        <v>449760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92" t="s">
        <v>97</v>
      </c>
      <c r="B31" s="92"/>
      <c r="C31" s="113">
        <f t="shared" ref="C31:F31" si="8">IFERROR(C30/C19,0)</f>
        <v>0.78083333333333338</v>
      </c>
      <c r="D31" s="113">
        <f t="shared" si="8"/>
        <v>0.78083333333333338</v>
      </c>
      <c r="E31" s="113">
        <f t="shared" si="8"/>
        <v>0.78083333333333338</v>
      </c>
      <c r="F31" s="113">
        <f t="shared" si="8"/>
        <v>0.78083333333333338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45"/>
      <c r="B32" s="113"/>
      <c r="C32" s="135"/>
      <c r="D32" s="136"/>
      <c r="E32" s="136"/>
      <c r="F32" s="131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41" t="s">
        <v>98</v>
      </c>
      <c r="B33" s="39"/>
      <c r="C33" s="135"/>
      <c r="D33" s="136"/>
      <c r="E33" s="136"/>
      <c r="F33" s="131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37" t="str">
        <f>'Inputs - Fixed Costs (OpEx)'!A7</f>
        <v>General &amp; Administrative Costs</v>
      </c>
      <c r="B34" s="39"/>
      <c r="C34" s="133">
        <f>SUM('Forecast - Cashflow'!D41:O41)</f>
        <v>48696</v>
      </c>
      <c r="D34" s="133">
        <f>SUM('Forecast - Cashflow'!P41:AA41)</f>
        <v>48024</v>
      </c>
      <c r="E34" s="133">
        <f>SUM('Forecast - Cashflow'!AB41:AM41)</f>
        <v>77796</v>
      </c>
      <c r="F34" s="126">
        <f t="shared" ref="F34:F37" si="9">SUM(C34:E34)</f>
        <v>174516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37" t="str">
        <f>'Inputs - Fixed Costs (OpEx)'!A27</f>
        <v>Staff Costs</v>
      </c>
      <c r="B35" s="39"/>
      <c r="C35" s="133">
        <f>SUM('Forecast - Cashflow'!D42:O42)</f>
        <v>143897.60000000003</v>
      </c>
      <c r="D35" s="133">
        <f>SUM('Forecast - Cashflow'!P42:AA42)</f>
        <v>156979.20000000004</v>
      </c>
      <c r="E35" s="133">
        <f>SUM('Forecast - Cashflow'!AB42:AM42)</f>
        <v>156979.20000000004</v>
      </c>
      <c r="F35" s="126">
        <f t="shared" si="9"/>
        <v>457856.00000000012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37" t="str">
        <f>'Inputs - Fixed Costs (OpEx)'!A44</f>
        <v>Marketing Expenses</v>
      </c>
      <c r="B36" s="39"/>
      <c r="C36" s="133">
        <f>SUM('Forecast - Cashflow'!D43:O43)</f>
        <v>28200</v>
      </c>
      <c r="D36" s="133">
        <f>SUM('Forecast - Cashflow'!P43:AA43)</f>
        <v>57600</v>
      </c>
      <c r="E36" s="133">
        <f>SUM('Forecast - Cashflow'!AB43:AM43)</f>
        <v>108000</v>
      </c>
      <c r="F36" s="126">
        <f t="shared" si="9"/>
        <v>193800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137" t="str">
        <f>'Inputs - Fixed Costs (OpEx)'!A59</f>
        <v>Other Central Expenses</v>
      </c>
      <c r="B37" s="39"/>
      <c r="C37" s="133">
        <f>SUM('Forecast - Cashflow'!D44:O44)</f>
        <v>61200</v>
      </c>
      <c r="D37" s="133">
        <f>SUM('Forecast - Cashflow'!P44:AA44)</f>
        <v>57600</v>
      </c>
      <c r="E37" s="133">
        <f>SUM('Forecast - Cashflow'!AB44:AM44)</f>
        <v>78000</v>
      </c>
      <c r="F37" s="126">
        <f t="shared" si="9"/>
        <v>196800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48" t="s">
        <v>99</v>
      </c>
      <c r="B38" s="138"/>
      <c r="C38" s="139">
        <f t="shared" ref="C38:F38" si="10">C36</f>
        <v>28200</v>
      </c>
      <c r="D38" s="139">
        <f t="shared" si="10"/>
        <v>57600</v>
      </c>
      <c r="E38" s="139">
        <f t="shared" si="10"/>
        <v>108000</v>
      </c>
      <c r="F38" s="139">
        <f t="shared" si="10"/>
        <v>193800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79" t="s">
        <v>130</v>
      </c>
      <c r="B39" s="39"/>
      <c r="C39" s="113">
        <f t="shared" ref="C39:F39" si="11">IFERROR(C38/C19,0)</f>
        <v>0.39166666666666666</v>
      </c>
      <c r="D39" s="113">
        <f t="shared" si="11"/>
        <v>0.4</v>
      </c>
      <c r="E39" s="113">
        <f t="shared" si="11"/>
        <v>0.3</v>
      </c>
      <c r="F39" s="113">
        <f t="shared" si="11"/>
        <v>0.33645833333333336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96"/>
      <c r="B40" s="39"/>
      <c r="C40" s="81"/>
      <c r="D40" s="81"/>
      <c r="E40" s="81"/>
      <c r="F40" s="81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48" t="s">
        <v>131</v>
      </c>
      <c r="B41" s="138"/>
      <c r="C41" s="140">
        <f t="shared" ref="C41:F41" si="12">C30-C38</f>
        <v>28020</v>
      </c>
      <c r="D41" s="140">
        <f t="shared" si="12"/>
        <v>54840</v>
      </c>
      <c r="E41" s="140">
        <f t="shared" si="12"/>
        <v>173100</v>
      </c>
      <c r="F41" s="140">
        <f t="shared" si="12"/>
        <v>255960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96"/>
      <c r="B42" s="39"/>
      <c r="C42" s="136"/>
      <c r="D42" s="136"/>
      <c r="E42" s="136"/>
      <c r="F42" s="131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41" t="s">
        <v>106</v>
      </c>
      <c r="B43" s="39"/>
      <c r="C43" s="131"/>
      <c r="D43" s="131"/>
      <c r="E43" s="131"/>
      <c r="F43" s="131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141" t="s">
        <v>107</v>
      </c>
      <c r="B44" s="39"/>
      <c r="C44" s="133">
        <f>SUM('Forecast - Cashflow'!D56:O56)</f>
        <v>50000</v>
      </c>
      <c r="D44" s="133">
        <f>SUM('Forecast - Cashflow'!P56:AA56)</f>
        <v>0</v>
      </c>
      <c r="E44" s="133">
        <f>SUM('Forecast - Cashflow'!AB56:AM56)</f>
        <v>0</v>
      </c>
      <c r="F44" s="128">
        <f t="shared" ref="F44:F45" si="13">SUM(C44:E44)</f>
        <v>50000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142" t="s">
        <v>108</v>
      </c>
      <c r="B45" s="39"/>
      <c r="C45" s="133">
        <f>SUM('Forecast - Cashflow'!D57:O57)</f>
        <v>0</v>
      </c>
      <c r="D45" s="133">
        <f>SUM('Forecast - Cashflow'!P57:AA57)</f>
        <v>0</v>
      </c>
      <c r="E45" s="133">
        <f>SUM('Forecast - Cashflow'!AB57:AM57)</f>
        <v>0</v>
      </c>
      <c r="F45" s="128">
        <f t="shared" si="13"/>
        <v>0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41" t="s">
        <v>109</v>
      </c>
      <c r="B46" s="39"/>
      <c r="C46" s="131"/>
      <c r="D46" s="131"/>
      <c r="E46" s="131"/>
      <c r="F46" s="3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141" t="s">
        <v>110</v>
      </c>
      <c r="B47" s="41"/>
      <c r="C47" s="133">
        <f>SUM('Forecast - Cashflow'!D59:O59)</f>
        <v>0</v>
      </c>
      <c r="D47" s="133">
        <f>SUM('Forecast - Cashflow'!P59:AA59)</f>
        <v>0</v>
      </c>
      <c r="E47" s="133">
        <f>SUM('Forecast - Cashflow'!AB59:AM59)</f>
        <v>0</v>
      </c>
      <c r="F47" s="128">
        <f t="shared" ref="F47:F50" si="14">SUM(C47:E47)</f>
        <v>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142" t="s">
        <v>111</v>
      </c>
      <c r="B48" s="113"/>
      <c r="C48" s="133">
        <f>SUM('Forecast - Cashflow'!D60:O60)</f>
        <v>0</v>
      </c>
      <c r="D48" s="133">
        <f>SUM('Forecast - Cashflow'!P60:AA60)</f>
        <v>0</v>
      </c>
      <c r="E48" s="133">
        <f>SUM('Forecast - Cashflow'!AB60:AM60)</f>
        <v>0</v>
      </c>
      <c r="F48" s="128">
        <f t="shared" si="14"/>
        <v>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143" t="s">
        <v>132</v>
      </c>
      <c r="B49" s="144"/>
      <c r="C49" s="145">
        <f>SUM('Forecast - Cashflow'!D53:O53)</f>
        <v>-175773.60000000003</v>
      </c>
      <c r="D49" s="145">
        <f>SUM('Forecast - Cashflow'!P53:AA53)</f>
        <v>-207763.20000000004</v>
      </c>
      <c r="E49" s="145">
        <f>SUM('Forecast - Cashflow'!AB53:AM53)</f>
        <v>-139675.20000000001</v>
      </c>
      <c r="F49" s="146">
        <f t="shared" si="14"/>
        <v>-523212.00000000006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45" t="s">
        <v>113</v>
      </c>
      <c r="B50" s="113">
        <v>0</v>
      </c>
      <c r="C50" s="133">
        <f>SUM('Forecast - Cashflow'!D62:O62)</f>
        <v>0</v>
      </c>
      <c r="D50" s="133">
        <f>SUM('Forecast - Cashflow'!P62:AA62)</f>
        <v>0</v>
      </c>
      <c r="E50" s="133">
        <f>SUM('Forecast - Cashflow'!AB62:AM62)</f>
        <v>0</v>
      </c>
      <c r="F50" s="128">
        <f t="shared" si="14"/>
        <v>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96"/>
      <c r="B51" s="39"/>
      <c r="C51" s="45"/>
      <c r="D51" s="45"/>
      <c r="E51" s="45"/>
      <c r="F51" s="96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88" t="s">
        <v>114</v>
      </c>
      <c r="B52" s="88"/>
      <c r="C52" s="130">
        <f t="shared" ref="C52:F52" si="15">C49-C50</f>
        <v>-175773.60000000003</v>
      </c>
      <c r="D52" s="130">
        <f t="shared" si="15"/>
        <v>-207763.20000000004</v>
      </c>
      <c r="E52" s="130">
        <f t="shared" si="15"/>
        <v>-139675.20000000001</v>
      </c>
      <c r="F52" s="130">
        <f t="shared" si="15"/>
        <v>-523212.00000000006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01" t="s">
        <v>115</v>
      </c>
      <c r="B53" s="113"/>
      <c r="C53" s="113">
        <f t="shared" ref="C53:F53" si="16">IFERROR(C52/C19,0)</f>
        <v>-2.4413000000000005</v>
      </c>
      <c r="D53" s="113">
        <f t="shared" si="16"/>
        <v>-1.4428000000000003</v>
      </c>
      <c r="E53" s="113">
        <f t="shared" si="16"/>
        <v>-0.3879866666666667</v>
      </c>
      <c r="F53" s="39">
        <f t="shared" si="16"/>
        <v>-0.9083541666666668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48" t="s">
        <v>116</v>
      </c>
      <c r="B55" s="48"/>
      <c r="C55" s="48"/>
      <c r="D55" s="48"/>
      <c r="E55" s="48"/>
      <c r="F55" s="4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01"/>
      <c r="B56" s="101"/>
      <c r="C56" s="101"/>
      <c r="D56" s="101"/>
      <c r="E56" s="101"/>
      <c r="F56" s="101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45" t="s">
        <v>22</v>
      </c>
      <c r="B57" s="45"/>
      <c r="C57" s="133">
        <f>'Forecast - Cashflow'!D69</f>
        <v>300000</v>
      </c>
      <c r="D57" s="133">
        <f t="shared" ref="D57:F57" si="17">C64</f>
        <v>274226.39999999997</v>
      </c>
      <c r="E57" s="133">
        <f t="shared" si="17"/>
        <v>166463.19999999992</v>
      </c>
      <c r="F57" s="81">
        <f t="shared" si="17"/>
        <v>76787.999999999913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45"/>
      <c r="B58" s="45"/>
      <c r="C58" s="133"/>
      <c r="D58" s="133"/>
      <c r="E58" s="133"/>
      <c r="F58" s="81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45" t="s">
        <v>117</v>
      </c>
      <c r="B59" s="45"/>
      <c r="C59" s="133">
        <f>SUM('Forecast - Cashflow'!D71:O71)</f>
        <v>-175773.60000000003</v>
      </c>
      <c r="D59" s="133">
        <f>SUM('Forecast - Cashflow'!P71:AA71)</f>
        <v>-207763.20000000004</v>
      </c>
      <c r="E59" s="133">
        <f>SUM('Forecast - Cashflow'!AB71:AM71)</f>
        <v>-139675.20000000001</v>
      </c>
      <c r="F59" s="81">
        <f t="shared" ref="F59:F62" si="18">SUM(C59:E59)</f>
        <v>-523212.00000000006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45" t="s">
        <v>118</v>
      </c>
      <c r="B60" s="45"/>
      <c r="C60" s="133">
        <f>SUM('Forecast - Cashflow'!D72:O72)</f>
        <v>150000</v>
      </c>
      <c r="D60" s="133">
        <f>SUM('Forecast - Cashflow'!P72:AA72)</f>
        <v>100000</v>
      </c>
      <c r="E60" s="133">
        <f>SUM('Forecast - Cashflow'!AB72:AM72)</f>
        <v>50000</v>
      </c>
      <c r="F60" s="81">
        <f t="shared" si="18"/>
        <v>300000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45" t="s">
        <v>119</v>
      </c>
      <c r="B61" s="45"/>
      <c r="C61" s="133">
        <f>SUM('Forecast - Cashflow'!D73:O73)</f>
        <v>0</v>
      </c>
      <c r="D61" s="133">
        <f>SUM('Forecast - Cashflow'!P73:AA73)</f>
        <v>0</v>
      </c>
      <c r="E61" s="133">
        <f>SUM('Forecast - Cashflow'!AB73:AM73)</f>
        <v>0</v>
      </c>
      <c r="F61" s="81">
        <f t="shared" si="18"/>
        <v>0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45" t="s">
        <v>120</v>
      </c>
      <c r="B62" s="45"/>
      <c r="C62" s="133">
        <f>SUM('Forecast - Cashflow'!D74:O74)</f>
        <v>0</v>
      </c>
      <c r="D62" s="133">
        <f>SUM('Forecast - Cashflow'!P74:AA74)</f>
        <v>0</v>
      </c>
      <c r="E62" s="133">
        <f>SUM('Forecast - Cashflow'!AB74:AM74)</f>
        <v>0</v>
      </c>
      <c r="F62" s="81">
        <f t="shared" si="18"/>
        <v>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37"/>
      <c r="B63" s="37"/>
      <c r="C63" s="133"/>
      <c r="D63" s="126"/>
      <c r="E63" s="126"/>
      <c r="F63" s="12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56" t="s">
        <v>121</v>
      </c>
      <c r="B64" s="56"/>
      <c r="C64" s="56">
        <f t="shared" ref="C64:F64" si="19">SUM(C57:C61)-C62</f>
        <v>274226.39999999997</v>
      </c>
      <c r="D64" s="56">
        <f t="shared" si="19"/>
        <v>166463.19999999992</v>
      </c>
      <c r="E64" s="56">
        <f t="shared" si="19"/>
        <v>76787.999999999913</v>
      </c>
      <c r="F64" s="56">
        <f t="shared" si="19"/>
        <v>-146424.00000000012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9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Products</vt:lpstr>
      <vt:lpstr>Inputs - Sales &amp; Investment</vt:lpstr>
      <vt:lpstr>Inputs - Fixed Costs (OpEx)</vt:lpstr>
      <vt:lpstr>Forecast - Cashflow</vt:lpstr>
      <vt:lpstr>Forecast - P&amp;L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Alfie Huang</cp:lastModifiedBy>
  <dcterms:modified xsi:type="dcterms:W3CDTF">2026-06-09T13:06:35Z</dcterms:modified>
</cp:coreProperties>
</file>